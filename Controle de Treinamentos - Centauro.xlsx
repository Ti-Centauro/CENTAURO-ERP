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entauro\Downloads\"/>
    </mc:Choice>
  </mc:AlternateContent>
  <xr:revisionPtr revIDLastSave="0" documentId="13_ncr:1_{026CBFC0-C5EB-49F9-BABD-C88C5406463D}" xr6:coauthVersionLast="47" xr6:coauthVersionMax="47" xr10:uidLastSave="{00000000-0000-0000-0000-000000000000}"/>
  <bookViews>
    <workbookView xWindow="-120" yWindow="-120" windowWidth="21840" windowHeight="13020" tabRatio="601" xr2:uid="{00000000-000D-0000-FFFF-FFFF00000000}"/>
  </bookViews>
  <sheets>
    <sheet name="Engenharia" sheetId="1" r:id="rId1"/>
    <sheet name="Telecom" sheetId="2" r:id="rId2"/>
  </sheets>
  <definedNames>
    <definedName name="_xlnm._FilterDatabase" localSheetId="0" hidden="1">Engenharia!$A$1:$M$186</definedName>
    <definedName name="_xlnm._FilterDatabase" localSheetId="1" hidden="1">Telecom!$A$6:$AM$13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" i="2" l="1"/>
  <c r="AI7" i="2"/>
  <c r="AH13" i="2"/>
  <c r="AI13" i="2"/>
  <c r="AL12" i="2"/>
  <c r="AM12" i="2" s="1"/>
  <c r="AH12" i="2"/>
  <c r="AI12" i="2" s="1"/>
  <c r="Y12" i="2"/>
  <c r="Z12" i="2" s="1"/>
  <c r="V12" i="2"/>
  <c r="W12" i="2" s="1"/>
  <c r="M12" i="2"/>
  <c r="N12" i="2" s="1"/>
  <c r="Y11" i="2"/>
  <c r="Z11" i="2" s="1"/>
  <c r="V11" i="2"/>
  <c r="W11" i="2" s="1"/>
  <c r="AL10" i="2"/>
  <c r="AM10" i="2" s="1"/>
  <c r="AH10" i="2"/>
  <c r="AI10" i="2" s="1"/>
  <c r="V10" i="2"/>
  <c r="W10" i="2" s="1"/>
  <c r="M10" i="2"/>
  <c r="N10" i="2" s="1"/>
  <c r="V9" i="2"/>
  <c r="W9" i="2" s="1"/>
  <c r="AL8" i="2"/>
  <c r="AM8" i="2" s="1"/>
  <c r="AH8" i="2"/>
  <c r="AI8" i="2" s="1"/>
  <c r="Y8" i="2"/>
  <c r="Z8" i="2" s="1"/>
  <c r="V8" i="2"/>
  <c r="W8" i="2" s="1"/>
  <c r="M8" i="2"/>
  <c r="N8" i="2" s="1"/>
  <c r="B2" i="2"/>
  <c r="M7" i="2" l="1"/>
  <c r="N7" i="2" s="1"/>
  <c r="V7" i="2"/>
  <c r="W7" i="2" s="1"/>
  <c r="Y7" i="2"/>
  <c r="Z7" i="2" s="1"/>
  <c r="AL7" i="2"/>
  <c r="AM7" i="2" s="1"/>
  <c r="M13" i="2"/>
  <c r="N13" i="2" s="1"/>
  <c r="V13" i="2"/>
  <c r="W13" i="2" s="1"/>
  <c r="Y13" i="2"/>
  <c r="Z13" i="2" s="1"/>
  <c r="AL13" i="2"/>
  <c r="AM13" i="2" s="1"/>
  <c r="AH9" i="2"/>
  <c r="AI9" i="2" s="1"/>
  <c r="Y10" i="2"/>
  <c r="Z10" i="2" s="1"/>
  <c r="AH11" i="2"/>
  <c r="AI11" i="2" s="1"/>
  <c r="M9" i="2"/>
  <c r="N9" i="2" s="1"/>
  <c r="Y9" i="2"/>
  <c r="Z9" i="2" s="1"/>
  <c r="AL9" i="2"/>
  <c r="AM9" i="2" s="1"/>
  <c r="M11" i="2"/>
  <c r="N11" i="2" s="1"/>
  <c r="AL11" i="2"/>
  <c r="AM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tc={9C562B16-B2F9-4E04-8D6F-B70A51B525D9}</author>
    <author>tc={C24964DA-AFBC-440A-AAC6-D2503F2E6A0A}</author>
    <author>tc={DBE33520-E18C-4BE9-81AC-C357474FC037}</author>
  </authors>
  <commentList>
    <comment ref="A102" authorId="0" shapeId="0" xr:uid="{9C562B16-B2F9-4E04-8D6F-B70A51B525D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Colaborador não precisará realizar os treinamentos regulamentados, uma vez que não realiza atividades que envolvam risco grave e iminente. 
</t>
      </text>
    </comment>
    <comment ref="A153" authorId="1" shapeId="0" xr:uid="{C24964DA-AFBC-440A-AAC6-D2503F2E6A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colaborador optou por não renovar os treinamentos regulamentados, uma vez que não realiza atividades que envolvam risco grave e iminente. </t>
      </text>
    </comment>
    <comment ref="K157" authorId="2" shapeId="0" xr:uid="{DBE33520-E18C-4BE9-81AC-C357474FC0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Solicitado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tc={BE9504CF-204D-44E6-9693-778534E2D2A1}</author>
    <author>tc={C22C7050-0DDB-42C2-AB24-8BF24DEBA422}</author>
  </authors>
  <commentList>
    <comment ref="B9" authorId="0" shapeId="0" xr:uid="{BE9504CF-204D-44E6-9693-778534E2D2A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colaborador optou por não renovar os treinamentos regulamentados, uma vez que não realiza atividades que envolvam risco grave e iminente. </t>
      </text>
    </comment>
    <comment ref="B11" authorId="1" shapeId="0" xr:uid="{C22C7050-0DDB-42C2-AB24-8BF24DEBA42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colaborador optou por não renovar os treinamentos regulamentados, uma vez que não realiza atividades que envolvam risco grave e iminente. </t>
      </text>
    </comment>
  </commentList>
</comments>
</file>

<file path=xl/sharedStrings.xml><?xml version="1.0" encoding="utf-8"?>
<sst xmlns="http://schemas.openxmlformats.org/spreadsheetml/2006/main" count="257" uniqueCount="240">
  <si>
    <t xml:space="preserve"> </t>
  </si>
  <si>
    <t>QUANT.</t>
  </si>
  <si>
    <t>COLABORADOR</t>
  </si>
  <si>
    <t xml:space="preserve">TREINAMENTOS - TRABALHOS COM ELETRICIDADE - NR 10 / NR10 SEP </t>
  </si>
  <si>
    <t xml:space="preserve">TREINAMENTO - ATIVIDADES EM MINERAÇÃO - NR 22 </t>
  </si>
  <si>
    <t xml:space="preserve">TREINAMENTO - ATIVIDADES EM ESPAÇOS CONFINADOS - NR 33 </t>
  </si>
  <si>
    <t xml:space="preserve">TREINAMENTO - ATIVIDADES EM ALTURA - NR 35 </t>
  </si>
  <si>
    <t>NR 05</t>
  </si>
  <si>
    <t>VEN. NR 05</t>
  </si>
  <si>
    <t>SIT.</t>
  </si>
  <si>
    <t>NR 06</t>
  </si>
  <si>
    <t>VEN.  NR 06</t>
  </si>
  <si>
    <t>P.S.A</t>
  </si>
  <si>
    <t>NR 10</t>
  </si>
  <si>
    <t>VEN. NR10</t>
  </si>
  <si>
    <t>NR 10SEP</t>
  </si>
  <si>
    <t>VEN. NR 10SEP</t>
  </si>
  <si>
    <t>NR 12</t>
  </si>
  <si>
    <t>VEN. NR 12</t>
  </si>
  <si>
    <t>NR 18</t>
  </si>
  <si>
    <t>VEN. NR18</t>
  </si>
  <si>
    <t>NR 20</t>
  </si>
  <si>
    <t>VEN. NR20</t>
  </si>
  <si>
    <t>NR 22</t>
  </si>
  <si>
    <t>VEN. NR 22</t>
  </si>
  <si>
    <t>NR 26</t>
  </si>
  <si>
    <t>VEN. NR 26</t>
  </si>
  <si>
    <t>NR 33</t>
  </si>
  <si>
    <t>VEN. NR 33</t>
  </si>
  <si>
    <t>VA OU SE</t>
  </si>
  <si>
    <t>PROT. RESP</t>
  </si>
  <si>
    <t>NR 35</t>
  </si>
  <si>
    <t>VEN. NR 35</t>
  </si>
  <si>
    <t>Adriano Souza Santos</t>
  </si>
  <si>
    <t>Alessandro Soares Ribeiro</t>
  </si>
  <si>
    <t>Alex Antônio Victorino</t>
  </si>
  <si>
    <t>Alex Sena de Souza</t>
  </si>
  <si>
    <t>Alexandre Ferreira de Lima</t>
  </si>
  <si>
    <t>Alexandre Souza de Abreu</t>
  </si>
  <si>
    <t>Állam Lucas Mesquita da Silva</t>
  </si>
  <si>
    <t>Allan Delfim dos Santos</t>
  </si>
  <si>
    <t>Amanda Cristina de Souza Esteves</t>
  </si>
  <si>
    <t>Ana Paula Gouvea dos Santos</t>
  </si>
  <si>
    <t>Anderson Barbosa Pereira</t>
  </si>
  <si>
    <t>Anderson Ferreira Santana</t>
  </si>
  <si>
    <t>Anderson Pacheco Loula Sales</t>
  </si>
  <si>
    <t>Anderson Santos Prommerchenkel</t>
  </si>
  <si>
    <t>Anderson Vieira Barboza</t>
  </si>
  <si>
    <t>Andre Luiz Pereira Costa</t>
  </si>
  <si>
    <t xml:space="preserve">Angélica de França Ramos </t>
  </si>
  <si>
    <t>Arthur Cassilhas da Mata</t>
  </si>
  <si>
    <t>Arthur Rodrigues Rangel</t>
  </si>
  <si>
    <t>Arthur Souza Lemos Pinheiro</t>
  </si>
  <si>
    <t>Arthur Teles Silva de Andrade</t>
  </si>
  <si>
    <t>Artur Oliveira Cabral</t>
  </si>
  <si>
    <t>Ataíde Martins Apolinário Neto</t>
  </si>
  <si>
    <t>Aurea Cristina de Oliveira Bernardes</t>
  </si>
  <si>
    <t>Beatriz Meira Cunha</t>
  </si>
  <si>
    <t>Bianca Rodrigues da Silveira</t>
  </si>
  <si>
    <t>Bruna de Jesus da Silva</t>
  </si>
  <si>
    <t>Bruno Correia Borges Andrade</t>
  </si>
  <si>
    <t>Brunno Marques Esposito</t>
  </si>
  <si>
    <t>Bruno de Moraes Lima</t>
  </si>
  <si>
    <t>Carlos da Silva Santos</t>
  </si>
  <si>
    <t>Carlos Eduardo de Morais Rodrigues Junior</t>
  </si>
  <si>
    <t>Carlos Eduardo Silva de Souza</t>
  </si>
  <si>
    <t>Carlos Gomes da Silva</t>
  </si>
  <si>
    <t>Carlos Roberto Mesquita</t>
  </si>
  <si>
    <t>Cauã de Freitas Leite</t>
  </si>
  <si>
    <t>Cauã Vieira Lorencini Zanoni</t>
  </si>
  <si>
    <t>Clara Gabrielle Nascimento Fiel</t>
  </si>
  <si>
    <t>Cleriston Cledson Gomes da Silva</t>
  </si>
  <si>
    <t>Daniel Anchieta Braziel Petzold</t>
  </si>
  <si>
    <t>Daniel Duarte Alves</t>
  </si>
  <si>
    <t>Davi Elias da Silva Carvalho</t>
  </si>
  <si>
    <t>Davi Vasconcellos Macedo</t>
  </si>
  <si>
    <t>Diego Carlos da Silva Santos</t>
  </si>
  <si>
    <t>Douglas de Souza Paulo</t>
  </si>
  <si>
    <t>Edilei Santos Silva</t>
  </si>
  <si>
    <t>Edrizio Santana da Silva</t>
  </si>
  <si>
    <t>Eduardo Ferreira da Motta</t>
  </si>
  <si>
    <t>Eduardo Mendes Ávila</t>
  </si>
  <si>
    <t>Emerson Adauto da Silva</t>
  </si>
  <si>
    <t>Emerson da Silva Gomes</t>
  </si>
  <si>
    <t>Enzo Alcântara Cabral</t>
  </si>
  <si>
    <t>Esther Vitória dos Santos Faria</t>
  </si>
  <si>
    <t>Fabiano de Oliveira Machado</t>
  </si>
  <si>
    <t>Fabricio Lorencini Zanoni</t>
  </si>
  <si>
    <t>Felipe Corrêa Conceição</t>
  </si>
  <si>
    <t>Felipe Gomes da Silva</t>
  </si>
  <si>
    <t>Felipe Vargas de Souza</t>
  </si>
  <si>
    <t>Filipe de Sousa Bolonini</t>
  </si>
  <si>
    <t>Filipe Ferreira Agra de Araujo</t>
  </si>
  <si>
    <t>Flaviano de Almeida dos Santos</t>
  </si>
  <si>
    <t>Francisco da Silva Alves</t>
  </si>
  <si>
    <t>Francisco Sergio Marsília da Silva</t>
  </si>
  <si>
    <t>Frederico Tavares Gomes da Cunha</t>
  </si>
  <si>
    <t>Gabriel de Almeida Monteiro</t>
  </si>
  <si>
    <t>Gabriel Lira Auad Carrió</t>
  </si>
  <si>
    <t>Gabriel Sampaio de Sousa</t>
  </si>
  <si>
    <t>Gabriella Varela de Oliveira</t>
  </si>
  <si>
    <t>Georgia Mariana da Silva</t>
  </si>
  <si>
    <t>Glauber Rodrigues Gomes</t>
  </si>
  <si>
    <t>Glaubert Rodrigues de Jesus</t>
  </si>
  <si>
    <t>Gustavo Machado Soeiro</t>
  </si>
  <si>
    <t>Igor Barros da Silva</t>
  </si>
  <si>
    <t>Iury Cauam Jesus da Costa</t>
  </si>
  <si>
    <t>Iury dos Santos da Silva</t>
  </si>
  <si>
    <t>Janilson Ferreira Acioli Junior</t>
  </si>
  <si>
    <t xml:space="preserve">Jeanderson Cristian da Silva Texeira </t>
  </si>
  <si>
    <t>Jeniffer Luisa Chagas da Conceição</t>
  </si>
  <si>
    <t>Jheancarlos Jesus da Silva</t>
  </si>
  <si>
    <t>Jhonny Ferreira Moreira</t>
  </si>
  <si>
    <t>Jhoubertt da Silva Quintanilha</t>
  </si>
  <si>
    <t>João de Jesus Melonio Reis</t>
  </si>
  <si>
    <t>João Lucas Lima Pereira</t>
  </si>
  <si>
    <t>João Paulo Tavares Silva</t>
  </si>
  <si>
    <t>João Rodrigues Pereira Filho</t>
  </si>
  <si>
    <t>João Vitor Moço Santos</t>
  </si>
  <si>
    <t>Jorge Luiz Ramos Junior</t>
  </si>
  <si>
    <t>José Leonardo Penha Pereira</t>
  </si>
  <si>
    <t>Joyce de Oliveira Mota</t>
  </si>
  <si>
    <t>Juan Patrick Moura Nunes Leite</t>
  </si>
  <si>
    <t>Kaike Penha Soares</t>
  </si>
  <si>
    <t>Kaleb Pinheiro da Mata</t>
  </si>
  <si>
    <t>Kananda Soares da Cruz Morales</t>
  </si>
  <si>
    <t>Larissa Cristinna Silva da Costa</t>
  </si>
  <si>
    <t>Larissa Lima de Moura</t>
  </si>
  <si>
    <t>Leandro Rangel de Oliveira</t>
  </si>
  <si>
    <t>Lenon Martins dos Santos</t>
  </si>
  <si>
    <t>Leonardo Ben Senor Casales Marques Ribas</t>
  </si>
  <si>
    <t>Leonardo Duarte Rangel</t>
  </si>
  <si>
    <t>Leonardo Neri de Mello</t>
  </si>
  <si>
    <t>Lorena Vieira de Castro Silva</t>
  </si>
  <si>
    <t>Lorraine Santos da Silva</t>
  </si>
  <si>
    <t>Luan Modesto Pinto</t>
  </si>
  <si>
    <t>Luan Teixeira de Souza</t>
  </si>
  <si>
    <t>Lucas de Carvalho Sobral</t>
  </si>
  <si>
    <t>Lucas dos Santos Goullart</t>
  </si>
  <si>
    <t>Lucas Pereira da Silva</t>
  </si>
  <si>
    <t>Luiz Carlos Assis</t>
  </si>
  <si>
    <t>Luiz Carlos Rosa Carreiro</t>
  </si>
  <si>
    <t>Luiz Fabricio Bonfim Soares</t>
  </si>
  <si>
    <t>Luiz Gabriel Duarte Alves</t>
  </si>
  <si>
    <t>Luiz Henrique Mendonça de Souza</t>
  </si>
  <si>
    <t>Luíza Meneghelli Barcellos</t>
  </si>
  <si>
    <t>Macelo Tadeu de Andrade Waiandt</t>
  </si>
  <si>
    <t>Magnon Silva de Jesus</t>
  </si>
  <si>
    <t>Marcelle da Costa Costa</t>
  </si>
  <si>
    <t>Marcelo Jorge Araujo Couto</t>
  </si>
  <si>
    <t>Marcelo Mendonça Barrozo da Silva</t>
  </si>
  <si>
    <t>Marcio Silva Mascarenhas</t>
  </si>
  <si>
    <t>Marcos Ursulino da Silva</t>
  </si>
  <si>
    <t>Mariana Passamani Salarolli</t>
  </si>
  <si>
    <t>Mariana Tauffer de Almeida</t>
  </si>
  <si>
    <t>Mariane da Silva Melo</t>
  </si>
  <si>
    <t>Matheus Barros Simião Ferreira</t>
  </si>
  <si>
    <t>Matheus Benício de Azevedo Cunha</t>
  </si>
  <si>
    <t>Matheus Franco da Costa</t>
  </si>
  <si>
    <t>Matheus Lucas Barbosa da Silva</t>
  </si>
  <si>
    <t>Mauricio Lima de Araujo</t>
  </si>
  <si>
    <t>Maycon Gabriel Silva de Souza</t>
  </si>
  <si>
    <t>Nadson Santos de Jesus</t>
  </si>
  <si>
    <t>Nata Martins Franca</t>
  </si>
  <si>
    <t>Natalia de Oliveira Lima</t>
  </si>
  <si>
    <t>Pablo Henrique da Silva Moura</t>
  </si>
  <si>
    <t>Patric Eudes Silva Basilio</t>
  </si>
  <si>
    <t>Patrick Dias</t>
  </si>
  <si>
    <t>Patrick Roberto dos Santos Martins</t>
  </si>
  <si>
    <t>Paula Saboya da Matta</t>
  </si>
  <si>
    <t>Paulo Henrique Dias</t>
  </si>
  <si>
    <t>Paulo Henrique Souza dos Santos</t>
  </si>
  <si>
    <t>Pedro Henrique da Silva Teixeira</t>
  </si>
  <si>
    <t>Pedro Henrique Lemos Bonfim</t>
  </si>
  <si>
    <t>Rafael Cardoso Leite</t>
  </si>
  <si>
    <t>Raphael de Souza Santoro</t>
  </si>
  <si>
    <t>Reinaldo Almeida dos Santos</t>
  </si>
  <si>
    <t>Renan Prata Monteiro</t>
  </si>
  <si>
    <t xml:space="preserve">Renan Saldanha Duarte </t>
  </si>
  <si>
    <t>Renato dos Santos Silva</t>
  </si>
  <si>
    <t>Renato Ribeiro</t>
  </si>
  <si>
    <t>Roberto Rego Junior</t>
  </si>
  <si>
    <t>Robson Ferreira da Silva</t>
  </si>
  <si>
    <t>Rodrigo Guimaraes Martins</t>
  </si>
  <si>
    <t>Ruan Carlos da Silva dos Santos</t>
  </si>
  <si>
    <t>Ruany Cristina da Costa Alves Barcelos</t>
  </si>
  <si>
    <t>Rubens Nunes da Luz Junior</t>
  </si>
  <si>
    <t>Rui Alvarenga Barbosa Neto</t>
  </si>
  <si>
    <t>Samuel Bastos Miguel</t>
  </si>
  <si>
    <t>Sanderson Soares Alves</t>
  </si>
  <si>
    <t>Sebastião Gesuino Gomes Filho</t>
  </si>
  <si>
    <t xml:space="preserve">Sebatião Manoel de Souza </t>
  </si>
  <si>
    <t>Solano dos Santos Fontes</t>
  </si>
  <si>
    <t>Tarcis Francisco Machado da Silva</t>
  </si>
  <si>
    <t>Telmo Leonardo Paiva Bezerra</t>
  </si>
  <si>
    <t>Thiago da Silva Oliveira</t>
  </si>
  <si>
    <t>Thiago Thierry Fernandes Ferreira</t>
  </si>
  <si>
    <t>Tiago do Nascimento Moraes</t>
  </si>
  <si>
    <t>Valdecir Gomes de Lima</t>
  </si>
  <si>
    <t>Valter Rodrigues Dias</t>
  </si>
  <si>
    <t>Vanderbety Sá Tavares</t>
  </si>
  <si>
    <t>Vandeson Mondego Flor</t>
  </si>
  <si>
    <t>Vanilson Olviera Veras</t>
  </si>
  <si>
    <t xml:space="preserve">Victor Lucas Lopes de Lima </t>
  </si>
  <si>
    <t>Victória Rocio Pereira</t>
  </si>
  <si>
    <t>Vinícius Pinto Galdino da Silva</t>
  </si>
  <si>
    <t>Vitor Martins de Oliveira Mattos</t>
  </si>
  <si>
    <t>Vitoria Correa da Silva de Souza</t>
  </si>
  <si>
    <t>Wanderson de Oliveira Dutra</t>
  </si>
  <si>
    <t>Washington Santos Oliveira da Assis</t>
  </si>
  <si>
    <t>Wellington Carvalho Pereira</t>
  </si>
  <si>
    <t>Wellington da Costa Oliveira</t>
  </si>
  <si>
    <t>Wilian Santos de Oliveira</t>
  </si>
  <si>
    <t>Willian Wallace Monteiro Mendonça</t>
  </si>
  <si>
    <t>Yan Lopes Teixeira</t>
  </si>
  <si>
    <t>TREINAMENTO - CIPA</t>
  </si>
  <si>
    <t>TREINAMENTO - EPI</t>
  </si>
  <si>
    <t>TREINAMENTO - PRIMEIROS SOCORROS</t>
  </si>
  <si>
    <t>TREINAMENTO - MÁQUINAS E EQUIPAMENTOS</t>
  </si>
  <si>
    <t>TREINAMENTO - CONSTRUÇÃO CIVIL</t>
  </si>
  <si>
    <t>TREINAMENTO - INFLAMÁVEIS E COMBUSTÍVEIS</t>
  </si>
  <si>
    <t xml:space="preserve">TREINAMENTO - SINALZAÇÃO DESEGURANÇA - NR26 </t>
  </si>
  <si>
    <t>NR 07</t>
  </si>
  <si>
    <t>VEN.     NR 07</t>
  </si>
  <si>
    <t>Antônio Diogo da Silva Teixeira</t>
  </si>
  <si>
    <t>Diego Fernandes Alves Martins</t>
  </si>
  <si>
    <t>Fernando Mendonça Fernandes</t>
  </si>
  <si>
    <t>Hugo de Aquino Volotão</t>
  </si>
  <si>
    <t>Mayara Pimentel da Silva</t>
  </si>
  <si>
    <t>Robson Luiz Oliveira Albuquerque</t>
  </si>
  <si>
    <t>NR-06</t>
  </si>
  <si>
    <t>NR-10</t>
  </si>
  <si>
    <t>NR-12</t>
  </si>
  <si>
    <t>NR-18</t>
  </si>
  <si>
    <t>NR-20</t>
  </si>
  <si>
    <t>NR-22</t>
  </si>
  <si>
    <t>NR-26</t>
  </si>
  <si>
    <t>NR-33</t>
  </si>
  <si>
    <t>NR-35</t>
  </si>
  <si>
    <t>NR-10SEP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</si>
</sst>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/m/yyyy"/>
    <numFmt numFmtId="165" formatCode="d/m/yyyy"/>
  </numFmts>
  <fonts count="2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4"/>
      <color rgb="FF000000"/>
      <name val="Calibri"/>
    </font>
    <font>
      <b/>
      <sz val="30"/>
      <color rgb="FFFFFFFF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sz val="9"/>
      <color rgb="FF000000"/>
      <name val="&quot;Nunito Sans&quot;"/>
    </font>
    <font>
      <b/>
      <sz val="11"/>
      <color theme="1"/>
      <name val="Calibri"/>
    </font>
    <font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  <scheme val="minor"/>
    </font>
    <font>
      <sz val="9"/>
      <color rgb="FF000000"/>
      <name val="Calibri"/>
      <family val="2"/>
    </font>
    <font>
      <sz val="9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8CCE4"/>
        <bgColor rgb="FFB8CCE4"/>
      </patternFill>
    </fill>
    <fill>
      <patternFill patternType="solid">
        <fgColor rgb="FF31869B"/>
        <bgColor rgb="FF31869B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6" tint="0.39997558519241921"/>
        <bgColor rgb="FFFFFFFF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5" fillId="0" borderId="0" xfId="0" applyFont="1"/>
    <xf numFmtId="0" fontId="5" fillId="0" borderId="3" xfId="0" applyFont="1" applyBorder="1"/>
    <xf numFmtId="0" fontId="7" fillId="5" borderId="5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49" fontId="11" fillId="2" borderId="2" xfId="0" applyNumberFormat="1" applyFont="1" applyFill="1" applyBorder="1"/>
    <xf numFmtId="0" fontId="12" fillId="6" borderId="2" xfId="0" applyFont="1" applyFill="1" applyBorder="1" applyAlignment="1">
      <alignment horizontal="center" vertical="center" wrapText="1"/>
    </xf>
    <xf numFmtId="164" fontId="13" fillId="2" borderId="2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wrapText="1"/>
    </xf>
    <xf numFmtId="14" fontId="13" fillId="2" borderId="2" xfId="0" applyNumberFormat="1" applyFont="1" applyFill="1" applyBorder="1" applyAlignment="1">
      <alignment horizontal="center"/>
    </xf>
    <xf numFmtId="14" fontId="10" fillId="2" borderId="2" xfId="0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wrapText="1"/>
    </xf>
    <xf numFmtId="165" fontId="10" fillId="2" borderId="2" xfId="0" applyNumberFormat="1" applyFont="1" applyFill="1" applyBorder="1" applyAlignment="1">
      <alignment horizontal="center"/>
    </xf>
    <xf numFmtId="49" fontId="13" fillId="2" borderId="2" xfId="0" applyNumberFormat="1" applyFont="1" applyFill="1" applyBorder="1" applyAlignment="1">
      <alignment horizontal="center"/>
    </xf>
    <xf numFmtId="49" fontId="15" fillId="2" borderId="2" xfId="0" applyNumberFormat="1" applyFont="1" applyFill="1" applyBorder="1"/>
    <xf numFmtId="165" fontId="13" fillId="2" borderId="2" xfId="0" applyNumberFormat="1" applyFont="1" applyFill="1" applyBorder="1" applyAlignment="1">
      <alignment horizontal="center"/>
    </xf>
    <xf numFmtId="49" fontId="10" fillId="2" borderId="2" xfId="0" applyNumberFormat="1" applyFont="1" applyFill="1" applyBorder="1" applyAlignment="1">
      <alignment horizontal="center" wrapText="1"/>
    </xf>
    <xf numFmtId="0" fontId="12" fillId="6" borderId="4" xfId="0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wrapText="1"/>
    </xf>
    <xf numFmtId="49" fontId="11" fillId="2" borderId="4" xfId="0" applyNumberFormat="1" applyFont="1" applyFill="1" applyBorder="1"/>
    <xf numFmtId="0" fontId="4" fillId="0" borderId="2" xfId="0" applyFont="1" applyBorder="1" applyAlignment="1">
      <alignment horizontal="center" vertical="center"/>
    </xf>
    <xf numFmtId="49" fontId="11" fillId="2" borderId="2" xfId="0" applyNumberFormat="1" applyFont="1" applyFill="1" applyBorder="1" applyAlignment="1">
      <alignment wrapText="1"/>
    </xf>
    <xf numFmtId="165" fontId="13" fillId="0" borderId="2" xfId="0" applyNumberFormat="1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4" fontId="13" fillId="0" borderId="2" xfId="0" applyNumberFormat="1" applyFont="1" applyBorder="1" applyAlignment="1">
      <alignment horizontal="center"/>
    </xf>
    <xf numFmtId="1" fontId="10" fillId="2" borderId="2" xfId="0" applyNumberFormat="1" applyFont="1" applyFill="1" applyBorder="1" applyAlignment="1">
      <alignment horizontal="center" wrapText="1"/>
    </xf>
    <xf numFmtId="0" fontId="13" fillId="0" borderId="2" xfId="0" applyFont="1" applyBorder="1"/>
    <xf numFmtId="49" fontId="16" fillId="0" borderId="0" xfId="0" applyNumberFormat="1" applyFont="1"/>
    <xf numFmtId="49" fontId="17" fillId="0" borderId="2" xfId="0" applyNumberFormat="1" applyFont="1" applyBorder="1"/>
    <xf numFmtId="49" fontId="17" fillId="2" borderId="11" xfId="0" applyNumberFormat="1" applyFont="1" applyFill="1" applyBorder="1"/>
    <xf numFmtId="14" fontId="13" fillId="0" borderId="13" xfId="0" applyNumberFormat="1" applyFont="1" applyBorder="1" applyAlignment="1">
      <alignment horizontal="center"/>
    </xf>
    <xf numFmtId="49" fontId="11" fillId="2" borderId="3" xfId="0" applyNumberFormat="1" applyFont="1" applyFill="1" applyBorder="1"/>
    <xf numFmtId="49" fontId="1" fillId="0" borderId="12" xfId="0" applyNumberFormat="1" applyFont="1" applyBorder="1"/>
    <xf numFmtId="14" fontId="4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6" borderId="3" xfId="0" applyFont="1" applyFill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/>
    </xf>
    <xf numFmtId="14" fontId="18" fillId="0" borderId="12" xfId="0" applyNumberFormat="1" applyFont="1" applyBorder="1"/>
    <xf numFmtId="14" fontId="18" fillId="6" borderId="2" xfId="0" applyNumberFormat="1" applyFont="1" applyFill="1" applyBorder="1" applyAlignment="1">
      <alignment horizontal="center" wrapText="1"/>
    </xf>
    <xf numFmtId="14" fontId="13" fillId="2" borderId="4" xfId="0" applyNumberFormat="1" applyFont="1" applyFill="1" applyBorder="1" applyAlignment="1">
      <alignment horizontal="center"/>
    </xf>
    <xf numFmtId="14" fontId="13" fillId="2" borderId="3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4" fontId="19" fillId="0" borderId="12" xfId="0" applyNumberFormat="1" applyFont="1" applyBorder="1"/>
    <xf numFmtId="0" fontId="4" fillId="0" borderId="4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wrapText="1"/>
    </xf>
    <xf numFmtId="165" fontId="13" fillId="0" borderId="4" xfId="0" applyNumberFormat="1" applyFont="1" applyBorder="1" applyAlignment="1">
      <alignment horizontal="center"/>
    </xf>
    <xf numFmtId="0" fontId="0" fillId="0" borderId="1" xfId="0" applyBorder="1"/>
    <xf numFmtId="49" fontId="11" fillId="2" borderId="12" xfId="0" applyNumberFormat="1" applyFont="1" applyFill="1" applyBorder="1"/>
    <xf numFmtId="0" fontId="12" fillId="6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4" fillId="2" borderId="12" xfId="0" applyFont="1" applyFill="1" applyBorder="1" applyAlignment="1">
      <alignment horizontal="center" wrapText="1"/>
    </xf>
    <xf numFmtId="49" fontId="11" fillId="7" borderId="4" xfId="0" applyNumberFormat="1" applyFont="1" applyFill="1" applyBorder="1"/>
    <xf numFmtId="49" fontId="16" fillId="7" borderId="2" xfId="0" applyNumberFormat="1" applyFont="1" applyFill="1" applyBorder="1"/>
    <xf numFmtId="14" fontId="18" fillId="0" borderId="12" xfId="0" applyNumberFormat="1" applyFont="1" applyBorder="1" applyAlignment="1">
      <alignment horizontal="center"/>
    </xf>
    <xf numFmtId="0" fontId="14" fillId="9" borderId="2" xfId="0" applyFont="1" applyFill="1" applyBorder="1" applyAlignment="1">
      <alignment horizontal="center" wrapText="1"/>
    </xf>
    <xf numFmtId="14" fontId="12" fillId="6" borderId="4" xfId="0" applyNumberFormat="1" applyFont="1" applyFill="1" applyBorder="1" applyAlignment="1">
      <alignment horizontal="center" wrapText="1"/>
    </xf>
    <xf numFmtId="14" fontId="18" fillId="0" borderId="2" xfId="0" applyNumberFormat="1" applyFont="1" applyBorder="1" applyAlignment="1">
      <alignment horizontal="center"/>
    </xf>
    <xf numFmtId="49" fontId="17" fillId="2" borderId="2" xfId="0" applyNumberFormat="1" applyFont="1" applyFill="1" applyBorder="1"/>
    <xf numFmtId="164" fontId="13" fillId="2" borderId="4" xfId="0" applyNumberFormat="1" applyFont="1" applyFill="1" applyBorder="1" applyAlignment="1">
      <alignment horizontal="center"/>
    </xf>
    <xf numFmtId="14" fontId="13" fillId="2" borderId="12" xfId="0" applyNumberFormat="1" applyFont="1" applyFill="1" applyBorder="1" applyAlignment="1">
      <alignment horizontal="center"/>
    </xf>
    <xf numFmtId="14" fontId="18" fillId="0" borderId="3" xfId="0" applyNumberFormat="1" applyFont="1" applyBorder="1"/>
    <xf numFmtId="14" fontId="10" fillId="2" borderId="7" xfId="0" applyNumberFormat="1" applyFont="1" applyFill="1" applyBorder="1" applyAlignment="1">
      <alignment horizontal="center" wrapText="1"/>
    </xf>
    <xf numFmtId="14" fontId="13" fillId="0" borderId="4" xfId="0" applyNumberFormat="1" applyFont="1" applyBorder="1" applyAlignment="1">
      <alignment horizontal="center"/>
    </xf>
    <xf numFmtId="14" fontId="12" fillId="6" borderId="2" xfId="0" applyNumberFormat="1" applyFont="1" applyFill="1" applyBorder="1" applyAlignment="1">
      <alignment horizontal="center" wrapText="1"/>
    </xf>
    <xf numFmtId="0" fontId="20" fillId="0" borderId="2" xfId="0" applyFont="1" applyBorder="1"/>
    <xf numFmtId="14" fontId="18" fillId="0" borderId="14" xfId="0" applyNumberFormat="1" applyFont="1" applyBorder="1" applyAlignment="1">
      <alignment horizontal="center"/>
    </xf>
    <xf numFmtId="14" fontId="18" fillId="0" borderId="14" xfId="0" applyNumberFormat="1" applyFont="1" applyBorder="1"/>
    <xf numFmtId="0" fontId="13" fillId="2" borderId="4" xfId="0" applyFont="1" applyFill="1" applyBorder="1" applyAlignment="1">
      <alignment horizontal="center"/>
    </xf>
    <xf numFmtId="49" fontId="11" fillId="8" borderId="9" xfId="0" applyNumberFormat="1" applyFont="1" applyFill="1" applyBorder="1"/>
    <xf numFmtId="0" fontId="12" fillId="6" borderId="9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wrapText="1"/>
    </xf>
    <xf numFmtId="49" fontId="10" fillId="2" borderId="9" xfId="0" applyNumberFormat="1" applyFont="1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/>
    </xf>
    <xf numFmtId="49" fontId="11" fillId="7" borderId="12" xfId="0" applyNumberFormat="1" applyFont="1" applyFill="1" applyBorder="1"/>
    <xf numFmtId="14" fontId="12" fillId="6" borderId="12" xfId="0" applyNumberFormat="1" applyFont="1" applyFill="1" applyBorder="1" applyAlignment="1">
      <alignment horizontal="center" wrapText="1"/>
    </xf>
    <xf numFmtId="49" fontId="10" fillId="2" borderId="12" xfId="0" applyNumberFormat="1" applyFont="1" applyFill="1" applyBorder="1" applyAlignment="1">
      <alignment horizontal="center" wrapText="1"/>
    </xf>
    <xf numFmtId="0" fontId="13" fillId="2" borderId="12" xfId="0" applyFont="1" applyFill="1" applyBorder="1" applyAlignment="1">
      <alignment horizontal="center"/>
    </xf>
    <xf numFmtId="49" fontId="11" fillId="8" borderId="2" xfId="0" quotePrefix="1" applyNumberFormat="1" applyFont="1" applyFill="1" applyBorder="1" applyAlignment="1">
      <alignment wrapText="1"/>
    </xf>
    <xf numFmtId="14" fontId="3" fillId="3" borderId="5" xfId="0" applyNumberFormat="1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6" fillId="4" borderId="6" xfId="0" applyFont="1" applyFill="1" applyBorder="1" applyAlignment="1">
      <alignment horizontal="center" vertical="center" wrapText="1"/>
    </xf>
    <xf numFmtId="0" fontId="8" fillId="0" borderId="6" xfId="0" applyFont="1" applyBorder="1"/>
    <xf numFmtId="0" fontId="8" fillId="0" borderId="7" xfId="0" applyFont="1" applyBorder="1"/>
    <xf numFmtId="0" fontId="6" fillId="4" borderId="10" xfId="0" applyFont="1" applyFill="1" applyBorder="1" applyAlignment="1">
      <alignment horizontal="center" vertical="center" wrapText="1"/>
    </xf>
    <xf numFmtId="0" fontId="8" fillId="0" borderId="11" xfId="0" applyFont="1" applyBorder="1"/>
    <xf numFmtId="0" fontId="8" fillId="0" borderId="8" xfId="0" applyFont="1" applyBorder="1"/>
    <xf numFmtId="0" fontId="6" fillId="4" borderId="4" xfId="0" applyFont="1" applyFill="1" applyBorder="1" applyAlignment="1">
      <alignment horizontal="center" vertical="center" wrapText="1"/>
    </xf>
    <xf numFmtId="0" fontId="8" fillId="0" borderId="9" xfId="0" applyFont="1" applyBorder="1"/>
    <xf numFmtId="0" fontId="8" fillId="0" borderId="3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rraine da Silva" id="{FC5B7E71-4BB8-4315-9C49-30BFC3AC0B9E}" userId="S::lorrainedasilva@centaurotelecom.com.br::48dfe97b-2846-4d7f-bf43-c6d9f7691d63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2" dT="2025-11-03T20:00:34.57" personId="{FC5B7E71-4BB8-4315-9C49-30BFC3AC0B9E}" id="{9C562B16-B2F9-4E04-8D6F-B70A51B525D9}">
    <text xml:space="preserve">Colaborador não precisará realizar os treinamentos regulamentados, uma vez que não realiza atividades que envolvam risco grave e iminente. 
</text>
  </threadedComment>
  <threadedComment ref="A153" dT="2025-11-03T14:36:50.12" personId="{FC5B7E71-4BB8-4315-9C49-30BFC3AC0B9E}" id="{C24964DA-AFBC-440A-AAC6-D2503F2E6A0A}">
    <text xml:space="preserve">O colaborador optou por não renovar os treinamentos regulamentados, uma vez que não realiza atividades que envolvam risco grave e iminente. </text>
  </threadedComment>
  <threadedComment ref="K157" dT="2025-11-26T20:23:31.69" personId="{FC5B7E71-4BB8-4315-9C49-30BFC3AC0B9E}" id="{DBE33520-E18C-4BE9-81AC-C357474FC037}">
    <text>Treinamento Solicitado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9" dT="2025-11-03T14:39:04.64" personId="{FC5B7E71-4BB8-4315-9C49-30BFC3AC0B9E}" id="{BE9504CF-204D-44E6-9693-778534E2D2A1}">
    <text xml:space="preserve">O colaborador optou por não renovar os treinamentos regulamentados, uma vez que não realiza atividades que envolvam risco grave e iminente. </text>
  </threadedComment>
  <threadedComment ref="B11" dT="2025-11-03T14:39:37.50" personId="{FC5B7E71-4BB8-4315-9C49-30BFC3AC0B9E}" id="{C22C7050-0DDB-42C2-AB24-8BF24DEBA422}">
    <text xml:space="preserve">O colaborador optou por não renovar os treinamentos regulamentados, uma vez que não realiza atividades que envolvam risco grave e iminente.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87"/>
  <sheetViews>
    <sheetView tabSelected="1" zoomScale="80" zoomScaleNormal="80" workbookViewId="0">
      <pane xSplit="1" ySplit="1" topLeftCell="B2" activePane="bottomRight" state="frozen"/>
      <selection pane="topRight" activeCell="C1" sqref="C1"/>
      <selection pane="bottomLeft" activeCell="A7" sqref="A7"/>
      <selection pane="bottomRight"/>
    </sheetView>
  </sheetViews>
  <sheetFormatPr defaultColWidth="12.5703125" defaultRowHeight="15" customHeight="1" x14ac:dyDescent="0.2"/>
  <cols>
    <col min="1" max="1" width="41.42578125" bestFit="1" customWidth="1"/>
    <col min="2" max="2" width="12.42578125" customWidth="1"/>
    <col min="3" max="3" width="11.5703125" bestFit="1" customWidth="1"/>
    <col min="4" max="4" width="12.42578125" bestFit="1" customWidth="1"/>
    <col min="5" max="5" width="15.7109375" bestFit="1" customWidth="1"/>
    <col min="6" max="11" width="12.42578125" bestFit="1" customWidth="1"/>
    <col min="12" max="12" width="17.28515625" bestFit="1" customWidth="1"/>
    <col min="13" max="13" width="12.42578125" bestFit="1" customWidth="1"/>
  </cols>
  <sheetData>
    <row r="1" spans="1:13" ht="52.5" customHeight="1" x14ac:dyDescent="0.2">
      <c r="A1" s="93"/>
      <c r="B1" s="9" t="s">
        <v>230</v>
      </c>
      <c r="C1" s="8" t="s">
        <v>12</v>
      </c>
      <c r="D1" s="8" t="s">
        <v>231</v>
      </c>
      <c r="E1" s="8" t="s">
        <v>239</v>
      </c>
      <c r="F1" s="8" t="s">
        <v>232</v>
      </c>
      <c r="G1" s="8" t="s">
        <v>233</v>
      </c>
      <c r="H1" s="8" t="s">
        <v>234</v>
      </c>
      <c r="I1" s="8" t="s">
        <v>235</v>
      </c>
      <c r="J1" s="8" t="s">
        <v>236</v>
      </c>
      <c r="K1" s="8" t="s">
        <v>237</v>
      </c>
      <c r="L1" s="8" t="s">
        <v>30</v>
      </c>
      <c r="M1" s="8" t="s">
        <v>238</v>
      </c>
    </row>
    <row r="2" spans="1:13" ht="45.75" customHeight="1" x14ac:dyDescent="0.25">
      <c r="A2" s="10" t="s">
        <v>33</v>
      </c>
      <c r="B2" s="11"/>
      <c r="C2" s="11"/>
      <c r="D2" s="15"/>
      <c r="E2" s="16"/>
      <c r="F2" s="15"/>
      <c r="G2" s="15"/>
      <c r="H2" s="17"/>
      <c r="I2" s="13"/>
      <c r="J2" s="14"/>
      <c r="K2" s="15"/>
      <c r="L2" s="15"/>
      <c r="M2" s="15"/>
    </row>
    <row r="3" spans="1:13" ht="42" customHeight="1" x14ac:dyDescent="0.25">
      <c r="A3" s="10" t="s">
        <v>34</v>
      </c>
      <c r="B3" s="11"/>
      <c r="C3" s="11"/>
      <c r="D3" s="15"/>
      <c r="E3" s="19"/>
      <c r="F3" s="20"/>
      <c r="G3" s="15"/>
      <c r="H3" s="17"/>
      <c r="I3" s="15"/>
      <c r="J3" s="14"/>
      <c r="K3" s="15"/>
      <c r="L3" s="15"/>
      <c r="M3" s="15"/>
    </row>
    <row r="4" spans="1:13" ht="44.25" customHeight="1" x14ac:dyDescent="0.25">
      <c r="A4" s="10" t="s">
        <v>35</v>
      </c>
      <c r="B4" s="11"/>
      <c r="C4" s="11"/>
      <c r="D4" s="15">
        <v>46276</v>
      </c>
      <c r="E4" s="16"/>
      <c r="F4" s="20"/>
      <c r="G4" s="15"/>
      <c r="H4" s="17"/>
      <c r="I4" s="15"/>
      <c r="J4" s="14"/>
      <c r="K4" s="15"/>
      <c r="L4" s="15"/>
      <c r="M4" s="15">
        <v>46269</v>
      </c>
    </row>
    <row r="5" spans="1:13" ht="37.5" customHeight="1" x14ac:dyDescent="0.25">
      <c r="A5" s="10" t="s">
        <v>36</v>
      </c>
      <c r="B5" s="24"/>
      <c r="C5" s="11"/>
      <c r="D5" s="15">
        <v>46549</v>
      </c>
      <c r="E5" s="16"/>
      <c r="F5" s="20"/>
      <c r="G5" s="15"/>
      <c r="H5" s="17"/>
      <c r="I5" s="15"/>
      <c r="J5" s="14"/>
      <c r="K5" s="15"/>
      <c r="L5" s="15"/>
      <c r="M5" s="15">
        <v>46704</v>
      </c>
    </row>
    <row r="6" spans="1:13" ht="39.75" customHeight="1" x14ac:dyDescent="0.25">
      <c r="A6" s="21" t="s">
        <v>37</v>
      </c>
      <c r="B6" s="46">
        <v>46715</v>
      </c>
      <c r="C6" s="68">
        <v>46319</v>
      </c>
      <c r="D6" s="15">
        <v>46470</v>
      </c>
      <c r="E6" s="16">
        <v>46662</v>
      </c>
      <c r="F6" s="15">
        <v>46457</v>
      </c>
      <c r="G6" s="15">
        <v>46638</v>
      </c>
      <c r="H6" s="22">
        <v>46824</v>
      </c>
      <c r="I6" s="15"/>
      <c r="J6" s="14"/>
      <c r="K6" s="15">
        <v>46095</v>
      </c>
      <c r="L6" s="15"/>
      <c r="M6" s="15">
        <v>46463</v>
      </c>
    </row>
    <row r="7" spans="1:13" ht="34.5" customHeight="1" x14ac:dyDescent="0.25">
      <c r="A7" s="10" t="s">
        <v>38</v>
      </c>
      <c r="B7" s="44"/>
      <c r="C7" s="11"/>
      <c r="D7" s="48"/>
      <c r="E7" s="23"/>
      <c r="F7" s="15"/>
      <c r="G7" s="15"/>
      <c r="H7" s="17"/>
      <c r="I7" s="15"/>
      <c r="J7" s="14"/>
      <c r="K7" s="15"/>
      <c r="L7" s="15"/>
      <c r="M7" s="15"/>
    </row>
    <row r="8" spans="1:13" ht="34.5" customHeight="1" x14ac:dyDescent="0.25">
      <c r="A8" s="10" t="s">
        <v>39</v>
      </c>
      <c r="B8" s="11"/>
      <c r="C8" s="11"/>
      <c r="D8" s="72"/>
      <c r="E8" s="23"/>
      <c r="F8" s="15"/>
      <c r="G8" s="15"/>
      <c r="H8" s="17"/>
      <c r="I8" s="15"/>
      <c r="J8" s="14"/>
      <c r="K8" s="15"/>
      <c r="L8" s="15"/>
      <c r="M8" s="15"/>
    </row>
    <row r="9" spans="1:13" ht="34.5" customHeight="1" x14ac:dyDescent="0.25">
      <c r="A9" s="10" t="s">
        <v>40</v>
      </c>
      <c r="B9" s="71">
        <v>46305</v>
      </c>
      <c r="C9" s="68">
        <v>46319</v>
      </c>
      <c r="D9" s="73">
        <v>46313</v>
      </c>
      <c r="E9" s="23"/>
      <c r="F9" s="48">
        <v>46645</v>
      </c>
      <c r="G9" s="48">
        <v>46298</v>
      </c>
      <c r="H9" s="17"/>
      <c r="I9" s="15"/>
      <c r="J9" s="14"/>
      <c r="K9" s="15">
        <v>46294</v>
      </c>
      <c r="L9" s="15"/>
      <c r="M9" s="48">
        <v>46304</v>
      </c>
    </row>
    <row r="10" spans="1:13" ht="36.75" customHeight="1" x14ac:dyDescent="0.25">
      <c r="A10" s="64" t="s">
        <v>41</v>
      </c>
      <c r="B10" s="78">
        <v>46690</v>
      </c>
      <c r="C10" s="68">
        <v>46319</v>
      </c>
      <c r="D10" s="48">
        <v>46698</v>
      </c>
      <c r="E10" s="25"/>
      <c r="F10" s="79">
        <v>46687</v>
      </c>
      <c r="G10" s="79">
        <v>46688</v>
      </c>
      <c r="H10" s="80"/>
      <c r="I10" s="48"/>
      <c r="J10" s="56"/>
      <c r="K10" s="48">
        <v>46337</v>
      </c>
      <c r="L10" s="48"/>
      <c r="M10" s="78">
        <v>46689</v>
      </c>
    </row>
    <row r="11" spans="1:13" ht="36.75" customHeight="1" x14ac:dyDescent="0.25">
      <c r="A11" s="86" t="s">
        <v>42</v>
      </c>
      <c r="B11" s="66"/>
      <c r="C11" s="87">
        <v>46415</v>
      </c>
      <c r="D11" s="72"/>
      <c r="E11" s="88"/>
      <c r="F11" s="46"/>
      <c r="G11" s="46">
        <v>46779</v>
      </c>
      <c r="H11" s="89"/>
      <c r="I11" s="72"/>
      <c r="J11" s="63"/>
      <c r="K11" s="72">
        <v>46445</v>
      </c>
      <c r="L11" s="72">
        <v>46414</v>
      </c>
      <c r="M11" s="66">
        <v>46764</v>
      </c>
    </row>
    <row r="12" spans="1:13" ht="34.5" customHeight="1" x14ac:dyDescent="0.25">
      <c r="A12" s="81" t="s">
        <v>43</v>
      </c>
      <c r="B12" s="44"/>
      <c r="C12" s="82"/>
      <c r="D12" s="49"/>
      <c r="E12" s="84"/>
      <c r="F12" s="49"/>
      <c r="G12" s="49"/>
      <c r="H12" s="85"/>
      <c r="I12" s="49"/>
      <c r="J12" s="83"/>
      <c r="K12" s="49"/>
      <c r="L12" s="49"/>
      <c r="M12" s="49"/>
    </row>
    <row r="13" spans="1:13" ht="31.5" customHeight="1" x14ac:dyDescent="0.25">
      <c r="A13" s="65" t="s">
        <v>44</v>
      </c>
      <c r="B13" s="11"/>
      <c r="C13" s="11"/>
      <c r="D13" s="15"/>
      <c r="E13" s="23"/>
      <c r="F13" s="15"/>
      <c r="G13" s="15"/>
      <c r="H13" s="17"/>
      <c r="I13" s="15"/>
      <c r="J13" s="14"/>
      <c r="K13" s="15"/>
      <c r="L13" s="15"/>
      <c r="M13" s="15"/>
    </row>
    <row r="14" spans="1:13" ht="36" customHeight="1" x14ac:dyDescent="0.25">
      <c r="A14" s="21" t="s">
        <v>45</v>
      </c>
      <c r="B14" s="11"/>
      <c r="C14" s="27"/>
      <c r="D14" s="17"/>
      <c r="E14" s="27"/>
      <c r="F14" s="17"/>
      <c r="G14" s="17"/>
      <c r="H14" s="17"/>
      <c r="I14" s="17"/>
      <c r="J14" s="14"/>
      <c r="K14" s="17"/>
      <c r="L14" s="17"/>
      <c r="M14" s="17"/>
    </row>
    <row r="15" spans="1:13" ht="41.25" customHeight="1" x14ac:dyDescent="0.25">
      <c r="A15" s="10" t="s">
        <v>46</v>
      </c>
      <c r="B15" s="11"/>
      <c r="C15" s="27"/>
      <c r="D15" s="17"/>
      <c r="E15" s="27"/>
      <c r="F15" s="17"/>
      <c r="G15" s="17"/>
      <c r="H15" s="17"/>
      <c r="I15" s="17"/>
      <c r="J15" s="14"/>
      <c r="K15" s="17"/>
      <c r="L15" s="17"/>
      <c r="M15" s="17"/>
    </row>
    <row r="16" spans="1:13" ht="35.25" customHeight="1" x14ac:dyDescent="0.25">
      <c r="A16" s="10" t="s">
        <v>47</v>
      </c>
      <c r="B16" s="12">
        <v>46327</v>
      </c>
      <c r="C16" s="41">
        <v>46336</v>
      </c>
      <c r="D16" s="22">
        <v>46452</v>
      </c>
      <c r="E16" s="27"/>
      <c r="F16" s="22">
        <v>46617</v>
      </c>
      <c r="G16" s="22">
        <v>46703</v>
      </c>
      <c r="H16" s="17"/>
      <c r="I16" s="38">
        <v>46134</v>
      </c>
      <c r="J16" s="14"/>
      <c r="K16" s="17"/>
      <c r="L16" s="17"/>
      <c r="M16" s="22">
        <v>46702</v>
      </c>
    </row>
    <row r="17" spans="1:13" ht="39" customHeight="1" x14ac:dyDescent="0.25">
      <c r="A17" s="10" t="s">
        <v>48</v>
      </c>
      <c r="B17" s="11"/>
      <c r="C17" s="27"/>
      <c r="D17" s="17"/>
      <c r="E17" s="27"/>
      <c r="F17" s="17"/>
      <c r="G17" s="17"/>
      <c r="H17" s="17"/>
      <c r="I17" s="17"/>
      <c r="J17" s="14"/>
      <c r="K17" s="17"/>
      <c r="L17" s="17"/>
      <c r="M17" s="17"/>
    </row>
    <row r="18" spans="1:13" ht="41.25" customHeight="1" x14ac:dyDescent="0.25">
      <c r="A18" s="10" t="s">
        <v>49</v>
      </c>
      <c r="B18" s="11"/>
      <c r="C18" s="27"/>
      <c r="D18" s="17"/>
      <c r="E18" s="27"/>
      <c r="F18" s="17"/>
      <c r="G18" s="17"/>
      <c r="H18" s="17"/>
      <c r="I18" s="17"/>
      <c r="J18" s="14"/>
      <c r="K18" s="17"/>
      <c r="L18" s="17"/>
      <c r="M18" s="17"/>
    </row>
    <row r="19" spans="1:13" ht="39" customHeight="1" x14ac:dyDescent="0.25">
      <c r="A19" s="10" t="s">
        <v>50</v>
      </c>
      <c r="B19" s="11"/>
      <c r="C19" s="41">
        <v>46318</v>
      </c>
      <c r="D19" s="15">
        <v>46690</v>
      </c>
      <c r="E19" s="41">
        <v>46697</v>
      </c>
      <c r="F19" s="17"/>
      <c r="G19" s="15">
        <v>46766</v>
      </c>
      <c r="H19" s="17"/>
      <c r="I19" s="15">
        <v>46761</v>
      </c>
      <c r="J19" s="14"/>
      <c r="K19" s="17"/>
      <c r="L19" s="17"/>
      <c r="M19" s="17"/>
    </row>
    <row r="20" spans="1:13" ht="34.5" customHeight="1" x14ac:dyDescent="0.25">
      <c r="A20" s="10" t="s">
        <v>51</v>
      </c>
      <c r="B20" s="11"/>
      <c r="C20" s="27"/>
      <c r="D20" s="17"/>
      <c r="E20" s="27"/>
      <c r="F20" s="17"/>
      <c r="G20" s="17"/>
      <c r="H20" s="17"/>
      <c r="I20" s="17"/>
      <c r="J20" s="14"/>
      <c r="K20" s="17"/>
      <c r="L20" s="17"/>
      <c r="M20" s="17"/>
    </row>
    <row r="21" spans="1:13" ht="39" customHeight="1" x14ac:dyDescent="0.25">
      <c r="A21" s="10" t="s">
        <v>52</v>
      </c>
      <c r="B21" s="11"/>
      <c r="C21" s="27"/>
      <c r="D21" s="17"/>
      <c r="E21" s="27"/>
      <c r="F21" s="17"/>
      <c r="G21" s="17"/>
      <c r="H21" s="17"/>
      <c r="I21" s="17"/>
      <c r="J21" s="14"/>
      <c r="K21" s="17"/>
      <c r="L21" s="17"/>
      <c r="M21" s="17"/>
    </row>
    <row r="22" spans="1:13" ht="39" customHeight="1" x14ac:dyDescent="0.25">
      <c r="A22" s="10" t="s">
        <v>53</v>
      </c>
      <c r="B22" s="11"/>
      <c r="C22" s="27"/>
      <c r="D22" s="17"/>
      <c r="E22" s="27"/>
      <c r="F22" s="17"/>
      <c r="G22" s="17"/>
      <c r="H22" s="17"/>
      <c r="I22" s="17"/>
      <c r="J22" s="14"/>
      <c r="K22" s="17"/>
      <c r="L22" s="17"/>
      <c r="M22" s="17"/>
    </row>
    <row r="23" spans="1:13" ht="39" customHeight="1" x14ac:dyDescent="0.25">
      <c r="A23" s="10" t="s">
        <v>54</v>
      </c>
      <c r="B23" s="11"/>
      <c r="C23" s="27"/>
      <c r="D23" s="17"/>
      <c r="E23" s="27"/>
      <c r="F23" s="17"/>
      <c r="G23" s="17"/>
      <c r="H23" s="17"/>
      <c r="I23" s="17"/>
      <c r="J23" s="14"/>
      <c r="K23" s="17"/>
      <c r="L23" s="17"/>
      <c r="M23" s="17"/>
    </row>
    <row r="24" spans="1:13" ht="39" customHeight="1" x14ac:dyDescent="0.25">
      <c r="A24" s="10" t="s">
        <v>55</v>
      </c>
      <c r="B24" s="76">
        <v>46795</v>
      </c>
      <c r="C24" s="27"/>
      <c r="D24" s="17"/>
      <c r="E24" s="27"/>
      <c r="F24" s="15">
        <v>46796</v>
      </c>
      <c r="G24" s="17"/>
      <c r="H24" s="17"/>
      <c r="I24" s="17"/>
      <c r="J24" s="14"/>
      <c r="K24" s="17"/>
      <c r="L24" s="17"/>
      <c r="M24" s="17"/>
    </row>
    <row r="25" spans="1:13" ht="39" customHeight="1" x14ac:dyDescent="0.25">
      <c r="A25" s="10" t="s">
        <v>56</v>
      </c>
      <c r="B25" s="11"/>
      <c r="C25" s="27"/>
      <c r="D25" s="17"/>
      <c r="E25" s="27"/>
      <c r="F25" s="17" t="s">
        <v>0</v>
      </c>
      <c r="G25" s="17"/>
      <c r="H25" s="17"/>
      <c r="I25" s="17"/>
      <c r="J25" s="14"/>
      <c r="K25" s="17"/>
      <c r="L25" s="17"/>
      <c r="M25" s="17"/>
    </row>
    <row r="26" spans="1:13" ht="39" customHeight="1" x14ac:dyDescent="0.25">
      <c r="A26" s="26" t="s">
        <v>57</v>
      </c>
      <c r="B26" s="11"/>
      <c r="C26" s="27"/>
      <c r="D26" s="17"/>
      <c r="E26" s="27"/>
      <c r="F26" s="17"/>
      <c r="G26" s="17"/>
      <c r="H26" s="17"/>
      <c r="I26" s="17"/>
      <c r="J26" s="14"/>
      <c r="K26" s="17"/>
      <c r="L26" s="17"/>
      <c r="M26" s="17"/>
    </row>
    <row r="27" spans="1:13" ht="39" customHeight="1" x14ac:dyDescent="0.25">
      <c r="A27" s="40" t="s">
        <v>58</v>
      </c>
      <c r="B27" s="11"/>
      <c r="C27" s="27"/>
      <c r="D27" s="17"/>
      <c r="E27" s="27"/>
      <c r="F27" s="17"/>
      <c r="G27" s="17"/>
      <c r="H27" s="17"/>
      <c r="I27" s="17"/>
      <c r="J27" s="14"/>
      <c r="K27" s="17"/>
      <c r="L27" s="17"/>
      <c r="M27" s="17"/>
    </row>
    <row r="28" spans="1:13" ht="39" customHeight="1" x14ac:dyDescent="0.25">
      <c r="A28" s="39" t="s">
        <v>59</v>
      </c>
      <c r="B28" s="11"/>
      <c r="C28" s="27"/>
      <c r="D28" s="17"/>
      <c r="E28" s="27"/>
      <c r="F28" s="17"/>
      <c r="G28" s="17"/>
      <c r="H28" s="17"/>
      <c r="I28" s="17"/>
      <c r="J28" s="14"/>
      <c r="K28" s="17"/>
      <c r="L28" s="17"/>
      <c r="M28" s="17"/>
    </row>
    <row r="29" spans="1:13" ht="39" customHeight="1" x14ac:dyDescent="0.25">
      <c r="A29" s="39" t="s">
        <v>60</v>
      </c>
      <c r="B29" s="76">
        <v>46793</v>
      </c>
      <c r="C29" s="27"/>
      <c r="D29" s="17"/>
      <c r="E29" s="27"/>
      <c r="F29" s="17"/>
      <c r="G29" s="15">
        <v>46793</v>
      </c>
      <c r="H29" s="17"/>
      <c r="I29" s="17"/>
      <c r="J29" s="14"/>
      <c r="K29" s="17"/>
      <c r="L29" s="17"/>
      <c r="M29" s="15">
        <v>46792</v>
      </c>
    </row>
    <row r="30" spans="1:13" ht="39" customHeight="1" x14ac:dyDescent="0.25">
      <c r="A30" s="10" t="s">
        <v>61</v>
      </c>
      <c r="B30" s="11"/>
      <c r="C30" s="27"/>
      <c r="D30" s="17"/>
      <c r="E30" s="27"/>
      <c r="F30" s="17"/>
      <c r="G30" s="17"/>
      <c r="H30" s="17"/>
      <c r="I30" s="17"/>
      <c r="J30" s="14"/>
      <c r="K30" s="17"/>
      <c r="L30" s="17"/>
      <c r="M30" s="17"/>
    </row>
    <row r="31" spans="1:13" ht="39" customHeight="1" x14ac:dyDescent="0.25">
      <c r="A31" s="10" t="s">
        <v>62</v>
      </c>
      <c r="B31" s="11"/>
      <c r="C31" s="27"/>
      <c r="D31" s="17"/>
      <c r="E31" s="27"/>
      <c r="F31" s="17"/>
      <c r="G31" s="17"/>
      <c r="H31" s="17"/>
      <c r="I31" s="17"/>
      <c r="J31" s="14"/>
      <c r="K31" s="17"/>
      <c r="L31" s="17"/>
      <c r="M31" s="17"/>
    </row>
    <row r="32" spans="1:13" ht="39" customHeight="1" x14ac:dyDescent="0.25">
      <c r="A32" s="10" t="s">
        <v>63</v>
      </c>
      <c r="B32" s="11"/>
      <c r="C32" s="27"/>
      <c r="D32" s="17"/>
      <c r="E32" s="27"/>
      <c r="F32" s="17"/>
      <c r="G32" s="17"/>
      <c r="H32" s="17"/>
      <c r="I32" s="17"/>
      <c r="J32" s="14"/>
      <c r="K32" s="17"/>
      <c r="L32" s="17"/>
      <c r="M32" s="17"/>
    </row>
    <row r="33" spans="1:13" ht="39" customHeight="1" x14ac:dyDescent="0.25">
      <c r="A33" s="28" t="s">
        <v>64</v>
      </c>
      <c r="B33" s="11"/>
      <c r="C33" s="27"/>
      <c r="D33" s="17"/>
      <c r="E33" s="27"/>
      <c r="F33" s="17"/>
      <c r="G33" s="17"/>
      <c r="H33" s="17"/>
      <c r="I33" s="17"/>
      <c r="J33" s="14"/>
      <c r="K33" s="17"/>
      <c r="L33" s="17"/>
      <c r="M33" s="17"/>
    </row>
    <row r="34" spans="1:13" ht="39" customHeight="1" x14ac:dyDescent="0.25">
      <c r="A34" s="10" t="s">
        <v>65</v>
      </c>
      <c r="B34" s="11"/>
      <c r="C34" s="27"/>
      <c r="D34" s="17"/>
      <c r="E34" s="27"/>
      <c r="F34" s="17"/>
      <c r="G34" s="17"/>
      <c r="H34" s="17"/>
      <c r="I34" s="17"/>
      <c r="J34" s="14"/>
      <c r="K34" s="17"/>
      <c r="L34" s="17"/>
      <c r="M34" s="17"/>
    </row>
    <row r="35" spans="1:13" ht="35.25" customHeight="1" x14ac:dyDescent="0.25">
      <c r="A35" s="10" t="s">
        <v>66</v>
      </c>
      <c r="B35" s="11"/>
      <c r="C35" s="27"/>
      <c r="D35" s="17"/>
      <c r="E35" s="27"/>
      <c r="F35" s="17"/>
      <c r="G35" s="17"/>
      <c r="H35" s="17"/>
      <c r="I35" s="17"/>
      <c r="J35" s="14"/>
      <c r="K35" s="17"/>
      <c r="L35" s="17"/>
      <c r="M35" s="17"/>
    </row>
    <row r="36" spans="1:13" ht="38.25" customHeight="1" x14ac:dyDescent="0.25">
      <c r="A36" s="10" t="s">
        <v>67</v>
      </c>
      <c r="B36" s="12">
        <v>46309</v>
      </c>
      <c r="C36" s="27"/>
      <c r="D36" s="22">
        <v>46590</v>
      </c>
      <c r="E36" s="27"/>
      <c r="F36" s="22">
        <v>46470</v>
      </c>
      <c r="G36" s="17"/>
      <c r="H36" s="22">
        <v>46589</v>
      </c>
      <c r="I36" s="17"/>
      <c r="J36" s="14"/>
      <c r="K36" s="17"/>
      <c r="L36" s="17"/>
      <c r="M36" s="15">
        <v>45659</v>
      </c>
    </row>
    <row r="37" spans="1:13" ht="33.75" customHeight="1" x14ac:dyDescent="0.25">
      <c r="A37" s="10" t="s">
        <v>68</v>
      </c>
      <c r="B37" s="11"/>
      <c r="C37" s="27"/>
      <c r="D37" s="29"/>
      <c r="E37" s="27"/>
      <c r="F37" s="22"/>
      <c r="G37" s="22"/>
      <c r="H37" s="17"/>
      <c r="I37" s="22"/>
      <c r="J37" s="14"/>
      <c r="K37" s="22"/>
      <c r="L37" s="22"/>
      <c r="M37" s="22"/>
    </row>
    <row r="38" spans="1:13" ht="43.5" customHeight="1" x14ac:dyDescent="0.25">
      <c r="A38" s="10" t="s">
        <v>69</v>
      </c>
      <c r="B38" s="11"/>
      <c r="C38" s="27"/>
      <c r="D38" s="29">
        <v>46624</v>
      </c>
      <c r="E38" s="27"/>
      <c r="F38" s="22">
        <v>46460</v>
      </c>
      <c r="G38" s="22">
        <v>46606</v>
      </c>
      <c r="H38" s="17"/>
      <c r="I38" s="22"/>
      <c r="J38" s="14"/>
      <c r="K38" s="22">
        <v>46246</v>
      </c>
      <c r="L38" s="22"/>
      <c r="M38" s="22">
        <v>46491</v>
      </c>
    </row>
    <row r="39" spans="1:13" ht="37.5" customHeight="1" x14ac:dyDescent="0.25">
      <c r="A39" s="10" t="s">
        <v>70</v>
      </c>
      <c r="B39" s="11"/>
      <c r="C39" s="27"/>
      <c r="D39" s="17"/>
      <c r="E39" s="27"/>
      <c r="F39" s="17"/>
      <c r="G39" s="17"/>
      <c r="H39" s="17"/>
      <c r="I39" s="17"/>
      <c r="J39" s="14"/>
      <c r="K39" s="17"/>
      <c r="L39" s="17"/>
      <c r="M39" s="17"/>
    </row>
    <row r="40" spans="1:13" ht="33" customHeight="1" x14ac:dyDescent="0.25">
      <c r="A40" s="10" t="s">
        <v>71</v>
      </c>
      <c r="B40" s="11"/>
      <c r="C40" s="27"/>
      <c r="D40" s="31"/>
      <c r="E40" s="27"/>
      <c r="F40" s="31"/>
      <c r="G40" s="31"/>
      <c r="H40" s="31"/>
      <c r="I40" s="31"/>
      <c r="J40" s="14"/>
      <c r="K40" s="31"/>
      <c r="L40" s="31"/>
      <c r="M40" s="31"/>
    </row>
    <row r="41" spans="1:13" ht="33.75" customHeight="1" x14ac:dyDescent="0.25">
      <c r="A41" s="10" t="s">
        <v>72</v>
      </c>
      <c r="B41" s="11"/>
      <c r="C41" s="27"/>
      <c r="D41" s="32">
        <v>46781</v>
      </c>
      <c r="E41" s="27"/>
      <c r="F41" s="31"/>
      <c r="G41" s="31"/>
      <c r="H41" s="31"/>
      <c r="I41" s="31"/>
      <c r="J41" s="14"/>
      <c r="K41" s="31"/>
      <c r="L41" s="31"/>
      <c r="M41" s="32">
        <v>46782</v>
      </c>
    </row>
    <row r="42" spans="1:13" ht="31.5" customHeight="1" x14ac:dyDescent="0.25">
      <c r="A42" s="10" t="s">
        <v>73</v>
      </c>
      <c r="B42" s="11"/>
      <c r="C42" s="27"/>
      <c r="D42" s="31"/>
      <c r="E42" s="27"/>
      <c r="F42" s="31"/>
      <c r="G42" s="31"/>
      <c r="H42" s="31"/>
      <c r="I42" s="31"/>
      <c r="J42" s="14"/>
      <c r="K42" s="31"/>
      <c r="L42" s="31"/>
      <c r="M42" s="31"/>
    </row>
    <row r="43" spans="1:13" ht="27.75" customHeight="1" x14ac:dyDescent="0.25">
      <c r="A43" s="10" t="s">
        <v>74</v>
      </c>
      <c r="B43" s="11"/>
      <c r="C43" s="27"/>
      <c r="D43" s="31"/>
      <c r="E43" s="27"/>
      <c r="F43" s="31"/>
      <c r="G43" s="31"/>
      <c r="H43" s="31"/>
      <c r="I43" s="31"/>
      <c r="J43" s="14"/>
      <c r="K43" s="31"/>
      <c r="L43" s="31"/>
      <c r="M43" s="31"/>
    </row>
    <row r="44" spans="1:13" ht="29.25" customHeight="1" x14ac:dyDescent="0.25">
      <c r="A44" s="10" t="s">
        <v>75</v>
      </c>
      <c r="B44" s="11"/>
      <c r="C44" s="27"/>
      <c r="D44" s="31"/>
      <c r="E44" s="27"/>
      <c r="F44" s="31"/>
      <c r="G44" s="31"/>
      <c r="H44" s="31"/>
      <c r="I44" s="31"/>
      <c r="J44" s="14"/>
      <c r="K44" s="31"/>
      <c r="L44" s="31"/>
      <c r="M44" s="31"/>
    </row>
    <row r="45" spans="1:13" ht="28.5" customHeight="1" x14ac:dyDescent="0.25">
      <c r="A45" s="10" t="s">
        <v>76</v>
      </c>
      <c r="B45" s="11"/>
      <c r="C45" s="27"/>
      <c r="D45" s="31"/>
      <c r="E45" s="27"/>
      <c r="F45" s="31"/>
      <c r="G45" s="31"/>
      <c r="H45" s="31"/>
      <c r="I45" s="31"/>
      <c r="J45" s="14"/>
      <c r="K45" s="31"/>
      <c r="L45" s="31"/>
      <c r="M45" s="31"/>
    </row>
    <row r="46" spans="1:13" ht="30.75" customHeight="1" x14ac:dyDescent="0.25">
      <c r="A46" s="10" t="s">
        <v>77</v>
      </c>
      <c r="B46" s="11"/>
      <c r="C46" s="27"/>
      <c r="D46" s="31"/>
      <c r="E46" s="27"/>
      <c r="F46" s="31"/>
      <c r="G46" s="31"/>
      <c r="H46" s="31"/>
      <c r="I46" s="31"/>
      <c r="J46" s="14"/>
      <c r="K46" s="31"/>
      <c r="L46" s="31"/>
      <c r="M46" s="31"/>
    </row>
    <row r="47" spans="1:13" ht="30" customHeight="1" x14ac:dyDescent="0.25">
      <c r="A47" s="10" t="s">
        <v>78</v>
      </c>
      <c r="B47" s="11"/>
      <c r="C47" s="27"/>
      <c r="D47" s="29">
        <v>46516</v>
      </c>
      <c r="E47" s="27"/>
      <c r="F47" s="29">
        <v>46493</v>
      </c>
      <c r="G47" s="29">
        <v>46494</v>
      </c>
      <c r="H47" s="31"/>
      <c r="I47" s="32">
        <v>46761</v>
      </c>
      <c r="J47" s="14"/>
      <c r="K47" s="31"/>
      <c r="L47" s="31"/>
      <c r="M47" s="29">
        <v>46492</v>
      </c>
    </row>
    <row r="48" spans="1:13" ht="30" customHeight="1" x14ac:dyDescent="0.25">
      <c r="A48" s="10" t="s">
        <v>79</v>
      </c>
      <c r="B48" s="11"/>
      <c r="C48" s="27"/>
      <c r="D48" s="32">
        <v>46320</v>
      </c>
      <c r="E48" s="27"/>
      <c r="F48" s="31"/>
      <c r="G48" s="31"/>
      <c r="H48" s="32">
        <v>46695</v>
      </c>
      <c r="I48" s="31"/>
      <c r="J48" s="14"/>
      <c r="K48" s="31"/>
      <c r="L48" s="31"/>
      <c r="M48" s="32">
        <v>46325</v>
      </c>
    </row>
    <row r="49" spans="1:13" ht="30" customHeight="1" x14ac:dyDescent="0.25">
      <c r="A49" s="10" t="s">
        <v>80</v>
      </c>
      <c r="B49" s="11"/>
      <c r="C49" s="27"/>
      <c r="D49" s="31"/>
      <c r="E49" s="27"/>
      <c r="F49" s="31"/>
      <c r="G49" s="31"/>
      <c r="H49" s="31"/>
      <c r="I49" s="31"/>
      <c r="J49" s="14"/>
      <c r="K49" s="31"/>
      <c r="L49" s="31"/>
      <c r="M49" s="31"/>
    </row>
    <row r="50" spans="1:13" ht="30" customHeight="1" x14ac:dyDescent="0.25">
      <c r="A50" s="10" t="s">
        <v>81</v>
      </c>
      <c r="B50" s="76">
        <v>46309</v>
      </c>
      <c r="C50" s="27"/>
      <c r="D50" s="29">
        <v>46100</v>
      </c>
      <c r="E50" s="27"/>
      <c r="F50" s="31"/>
      <c r="G50" s="31"/>
      <c r="H50" s="29">
        <v>46102</v>
      </c>
      <c r="I50" s="31"/>
      <c r="J50" s="14"/>
      <c r="K50" s="31"/>
      <c r="L50" s="31"/>
      <c r="M50" s="29">
        <v>46101</v>
      </c>
    </row>
    <row r="51" spans="1:13" ht="30" customHeight="1" x14ac:dyDescent="0.25">
      <c r="A51" s="10" t="s">
        <v>81</v>
      </c>
      <c r="B51" s="11"/>
      <c r="C51" s="27"/>
      <c r="D51" s="31"/>
      <c r="E51" s="27"/>
      <c r="F51" s="31"/>
      <c r="G51" s="31"/>
      <c r="H51" s="31"/>
      <c r="I51" s="31"/>
      <c r="J51" s="14"/>
      <c r="K51" s="31"/>
      <c r="L51" s="31"/>
      <c r="M51" s="31"/>
    </row>
    <row r="52" spans="1:13" ht="30" customHeight="1" x14ac:dyDescent="0.25">
      <c r="A52" s="10" t="s">
        <v>82</v>
      </c>
      <c r="B52" s="11"/>
      <c r="C52" s="27"/>
      <c r="D52" s="31"/>
      <c r="E52" s="27"/>
      <c r="F52" s="31"/>
      <c r="G52" s="31"/>
      <c r="H52" s="31"/>
      <c r="I52" s="31"/>
      <c r="J52" s="14"/>
      <c r="K52" s="31"/>
      <c r="L52" s="31"/>
      <c r="M52" s="31"/>
    </row>
    <row r="53" spans="1:13" ht="30" customHeight="1" x14ac:dyDescent="0.25">
      <c r="A53" s="10" t="s">
        <v>83</v>
      </c>
      <c r="B53" s="11"/>
      <c r="C53" s="27"/>
      <c r="D53" s="29">
        <v>46214</v>
      </c>
      <c r="E53" s="27"/>
      <c r="F53" s="31"/>
      <c r="G53" s="31"/>
      <c r="H53" s="29">
        <v>46580</v>
      </c>
      <c r="I53" s="31"/>
      <c r="J53" s="14"/>
      <c r="K53" s="31"/>
      <c r="L53" s="31"/>
      <c r="M53" s="29">
        <v>45845</v>
      </c>
    </row>
    <row r="54" spans="1:13" ht="30" customHeight="1" x14ac:dyDescent="0.25">
      <c r="A54" s="10" t="s">
        <v>84</v>
      </c>
      <c r="B54" s="11"/>
      <c r="C54" s="27"/>
      <c r="D54" s="31"/>
      <c r="E54" s="27"/>
      <c r="F54" s="31"/>
      <c r="G54" s="31"/>
      <c r="H54" s="31"/>
      <c r="I54" s="31"/>
      <c r="J54" s="14"/>
      <c r="K54" s="31"/>
      <c r="L54" s="31"/>
      <c r="M54" s="31"/>
    </row>
    <row r="55" spans="1:13" ht="30" customHeight="1" x14ac:dyDescent="0.25">
      <c r="A55" s="10" t="s">
        <v>85</v>
      </c>
      <c r="B55" s="11"/>
      <c r="C55" s="27"/>
      <c r="D55" s="31"/>
      <c r="E55" s="27"/>
      <c r="F55" s="31"/>
      <c r="G55" s="31"/>
      <c r="H55" s="31"/>
      <c r="I55" s="31"/>
      <c r="J55" s="14"/>
      <c r="K55" s="31"/>
      <c r="L55" s="31"/>
      <c r="M55" s="31"/>
    </row>
    <row r="56" spans="1:13" ht="30" customHeight="1" x14ac:dyDescent="0.25">
      <c r="A56" s="10" t="s">
        <v>86</v>
      </c>
      <c r="B56" s="11"/>
      <c r="C56" s="27"/>
      <c r="D56" s="29">
        <v>46354</v>
      </c>
      <c r="E56" s="27"/>
      <c r="F56" s="31"/>
      <c r="G56" s="31"/>
      <c r="H56" s="29">
        <v>46719</v>
      </c>
      <c r="I56" s="31"/>
      <c r="J56" s="14"/>
      <c r="K56" s="31"/>
      <c r="L56" s="31"/>
      <c r="M56" s="29">
        <v>46360</v>
      </c>
    </row>
    <row r="57" spans="1:13" ht="30" customHeight="1" x14ac:dyDescent="0.25">
      <c r="A57" s="10" t="s">
        <v>87</v>
      </c>
      <c r="B57" s="11"/>
      <c r="C57" s="27"/>
      <c r="D57" s="29">
        <v>46426</v>
      </c>
      <c r="E57" s="27"/>
      <c r="F57" s="29">
        <v>46516</v>
      </c>
      <c r="G57" s="29">
        <v>46515</v>
      </c>
      <c r="H57" s="31"/>
      <c r="I57" s="29">
        <v>46740</v>
      </c>
      <c r="J57" s="14"/>
      <c r="K57" s="29">
        <v>46379</v>
      </c>
      <c r="L57" s="29"/>
      <c r="M57" s="29">
        <v>46411</v>
      </c>
    </row>
    <row r="58" spans="1:13" ht="30" customHeight="1" x14ac:dyDescent="0.25">
      <c r="A58" s="10" t="s">
        <v>88</v>
      </c>
      <c r="B58" s="24"/>
      <c r="C58" s="27"/>
      <c r="D58" s="31"/>
      <c r="E58" s="27"/>
      <c r="F58" s="51"/>
      <c r="G58" s="51"/>
      <c r="H58" s="31"/>
      <c r="I58" s="31"/>
      <c r="J58" s="14"/>
      <c r="K58" s="51"/>
      <c r="L58" s="31"/>
      <c r="M58" s="31"/>
    </row>
    <row r="59" spans="1:13" ht="30" customHeight="1" x14ac:dyDescent="0.25">
      <c r="A59" s="10" t="s">
        <v>89</v>
      </c>
      <c r="B59" s="46">
        <v>46382</v>
      </c>
      <c r="C59" s="68"/>
      <c r="D59" s="32">
        <v>46355</v>
      </c>
      <c r="E59" s="27"/>
      <c r="F59" s="46">
        <v>46624</v>
      </c>
      <c r="G59" s="46">
        <v>46626</v>
      </c>
      <c r="H59" s="31"/>
      <c r="I59" s="31"/>
      <c r="J59" s="14"/>
      <c r="K59" s="54">
        <v>46351</v>
      </c>
      <c r="L59" s="31"/>
      <c r="M59" s="69">
        <v>46330</v>
      </c>
    </row>
    <row r="60" spans="1:13" ht="30" customHeight="1" x14ac:dyDescent="0.25">
      <c r="A60" s="10" t="s">
        <v>90</v>
      </c>
      <c r="B60" s="46">
        <v>46759</v>
      </c>
      <c r="C60" s="68">
        <v>46319</v>
      </c>
      <c r="D60" s="29">
        <v>46614</v>
      </c>
      <c r="E60" s="41">
        <v>46781</v>
      </c>
      <c r="F60" s="52">
        <v>46624</v>
      </c>
      <c r="G60" s="52">
        <v>46626</v>
      </c>
      <c r="H60" s="29">
        <v>46580</v>
      </c>
      <c r="I60" s="29"/>
      <c r="J60" s="14"/>
      <c r="K60" s="52">
        <v>46155</v>
      </c>
      <c r="L60" s="29"/>
      <c r="M60" s="29">
        <v>46620</v>
      </c>
    </row>
    <row r="61" spans="1:13" ht="30" customHeight="1" x14ac:dyDescent="0.25">
      <c r="A61" s="10" t="s">
        <v>91</v>
      </c>
      <c r="B61" s="45">
        <v>46140</v>
      </c>
      <c r="C61" s="27"/>
      <c r="D61" s="29">
        <v>46516</v>
      </c>
      <c r="E61" s="27"/>
      <c r="F61" s="29">
        <v>46515</v>
      </c>
      <c r="G61" s="29">
        <v>46513</v>
      </c>
      <c r="H61" s="31"/>
      <c r="I61" s="29">
        <v>46760</v>
      </c>
      <c r="J61" s="14"/>
      <c r="K61" s="29">
        <v>46254</v>
      </c>
      <c r="L61" s="29"/>
      <c r="M61" s="29">
        <v>46514</v>
      </c>
    </row>
    <row r="62" spans="1:13" ht="30" customHeight="1" x14ac:dyDescent="0.25">
      <c r="A62" s="10" t="s">
        <v>92</v>
      </c>
      <c r="B62" s="11"/>
      <c r="C62" s="27"/>
      <c r="D62" s="31"/>
      <c r="E62" s="27"/>
      <c r="F62" s="31"/>
      <c r="G62" s="31"/>
      <c r="H62" s="31"/>
      <c r="I62" s="31"/>
      <c r="J62" s="14"/>
      <c r="K62" s="31"/>
      <c r="L62" s="31"/>
      <c r="M62" s="31"/>
    </row>
    <row r="63" spans="1:13" ht="30" customHeight="1" x14ac:dyDescent="0.25">
      <c r="A63" s="10" t="s">
        <v>93</v>
      </c>
      <c r="B63" s="11"/>
      <c r="C63" s="27"/>
      <c r="D63" s="31"/>
      <c r="E63" s="27"/>
      <c r="F63" s="31"/>
      <c r="G63" s="31"/>
      <c r="H63" s="31"/>
      <c r="I63" s="31"/>
      <c r="J63" s="14"/>
      <c r="K63" s="31"/>
      <c r="L63" s="31"/>
      <c r="M63" s="31"/>
    </row>
    <row r="64" spans="1:13" ht="30" customHeight="1" x14ac:dyDescent="0.25">
      <c r="A64" s="10" t="s">
        <v>94</v>
      </c>
      <c r="B64" s="11"/>
      <c r="C64" s="27"/>
      <c r="D64" s="31"/>
      <c r="E64" s="27"/>
      <c r="F64" s="31"/>
      <c r="G64" s="31"/>
      <c r="H64" s="31"/>
      <c r="I64" s="31"/>
      <c r="J64" s="14"/>
      <c r="K64" s="31"/>
      <c r="L64" s="31"/>
      <c r="M64" s="31"/>
    </row>
    <row r="65" spans="1:13" ht="30" customHeight="1" x14ac:dyDescent="0.25">
      <c r="A65" s="77" t="s">
        <v>95</v>
      </c>
      <c r="B65" s="11"/>
      <c r="C65" s="27"/>
      <c r="D65" s="32">
        <v>46463</v>
      </c>
      <c r="E65" s="27"/>
      <c r="F65" s="31"/>
      <c r="G65" s="31"/>
      <c r="H65" s="31"/>
      <c r="I65" s="31"/>
      <c r="J65" s="14"/>
      <c r="K65" s="31"/>
      <c r="L65" s="31"/>
      <c r="M65" s="32">
        <v>46461</v>
      </c>
    </row>
    <row r="66" spans="1:13" ht="30" customHeight="1" x14ac:dyDescent="0.25">
      <c r="A66" s="10" t="s">
        <v>96</v>
      </c>
      <c r="B66" s="11"/>
      <c r="C66" s="27"/>
      <c r="D66" s="31"/>
      <c r="E66" s="27"/>
      <c r="F66" s="31"/>
      <c r="G66" s="31"/>
      <c r="H66" s="31"/>
      <c r="I66" s="31"/>
      <c r="J66" s="14"/>
      <c r="K66" s="31"/>
      <c r="L66" s="31"/>
      <c r="M66" s="31"/>
    </row>
    <row r="67" spans="1:13" ht="30" customHeight="1" x14ac:dyDescent="0.25">
      <c r="A67" s="10" t="s">
        <v>97</v>
      </c>
      <c r="B67" s="11"/>
      <c r="C67" s="27"/>
      <c r="D67" s="31"/>
      <c r="E67" s="27"/>
      <c r="F67" s="31"/>
      <c r="G67" s="31"/>
      <c r="H67" s="31"/>
      <c r="I67" s="31"/>
      <c r="J67" s="14"/>
      <c r="K67" s="31"/>
      <c r="L67" s="31"/>
      <c r="M67" s="31"/>
    </row>
    <row r="68" spans="1:13" ht="30" customHeight="1" x14ac:dyDescent="0.25">
      <c r="A68" s="10" t="s">
        <v>98</v>
      </c>
      <c r="B68" s="11"/>
      <c r="C68" s="27"/>
      <c r="D68" s="31"/>
      <c r="E68" s="27"/>
      <c r="F68" s="31"/>
      <c r="G68" s="31"/>
      <c r="H68" s="31"/>
      <c r="I68" s="31"/>
      <c r="J68" s="14"/>
      <c r="K68" s="31"/>
      <c r="L68" s="31"/>
      <c r="M68" s="31"/>
    </row>
    <row r="69" spans="1:13" ht="30" customHeight="1" x14ac:dyDescent="0.25">
      <c r="A69" s="10" t="s">
        <v>99</v>
      </c>
      <c r="B69" s="11"/>
      <c r="C69" s="27"/>
      <c r="D69" s="31"/>
      <c r="E69" s="27"/>
      <c r="F69" s="31"/>
      <c r="G69" s="29">
        <v>45891</v>
      </c>
      <c r="H69" s="31"/>
      <c r="I69" s="31"/>
      <c r="J69" s="14"/>
      <c r="K69" s="31"/>
      <c r="L69" s="31"/>
      <c r="M69" s="29">
        <v>46122</v>
      </c>
    </row>
    <row r="70" spans="1:13" ht="30" customHeight="1" x14ac:dyDescent="0.25">
      <c r="A70" s="10" t="s">
        <v>100</v>
      </c>
      <c r="B70" s="11"/>
      <c r="C70" s="27"/>
      <c r="D70" s="31"/>
      <c r="E70" s="27"/>
      <c r="F70" s="31"/>
      <c r="G70" s="31"/>
      <c r="H70" s="31"/>
      <c r="I70" s="31"/>
      <c r="J70" s="14"/>
      <c r="K70" s="31"/>
      <c r="L70" s="31"/>
      <c r="M70" s="31"/>
    </row>
    <row r="71" spans="1:13" ht="30" customHeight="1" x14ac:dyDescent="0.25">
      <c r="A71" s="10" t="s">
        <v>101</v>
      </c>
      <c r="B71" s="11"/>
      <c r="C71" s="27"/>
      <c r="D71" s="31"/>
      <c r="E71" s="27"/>
      <c r="F71" s="31"/>
      <c r="G71" s="31"/>
      <c r="H71" s="31"/>
      <c r="I71" s="31"/>
      <c r="J71" s="14"/>
      <c r="K71" s="31"/>
      <c r="L71" s="31"/>
      <c r="M71" s="31"/>
    </row>
    <row r="72" spans="1:13" ht="30" customHeight="1" x14ac:dyDescent="0.25">
      <c r="A72" s="10" t="s">
        <v>102</v>
      </c>
      <c r="B72" s="11"/>
      <c r="C72" s="27"/>
      <c r="D72" s="22">
        <v>46549</v>
      </c>
      <c r="E72" s="27"/>
      <c r="F72" s="31"/>
      <c r="G72" s="32">
        <v>46729</v>
      </c>
      <c r="H72" s="31"/>
      <c r="I72" s="32">
        <v>46134</v>
      </c>
      <c r="J72" s="14"/>
      <c r="K72" s="31"/>
      <c r="L72" s="31"/>
      <c r="M72" s="29">
        <v>46725</v>
      </c>
    </row>
    <row r="73" spans="1:13" ht="30" customHeight="1" x14ac:dyDescent="0.25">
      <c r="A73" s="10" t="s">
        <v>103</v>
      </c>
      <c r="B73" s="11"/>
      <c r="C73" s="27"/>
      <c r="D73" s="31"/>
      <c r="E73" s="27"/>
      <c r="F73" s="31"/>
      <c r="G73" s="31"/>
      <c r="H73" s="31"/>
      <c r="I73" s="31"/>
      <c r="J73" s="14"/>
      <c r="K73" s="31"/>
      <c r="L73" s="31"/>
      <c r="M73" s="31"/>
    </row>
    <row r="74" spans="1:13" ht="30" customHeight="1" x14ac:dyDescent="0.25">
      <c r="A74" s="10" t="s">
        <v>104</v>
      </c>
      <c r="B74" s="11"/>
      <c r="C74" s="27"/>
      <c r="D74" s="31"/>
      <c r="E74" s="27"/>
      <c r="F74" s="32">
        <v>46760</v>
      </c>
      <c r="G74" s="32">
        <v>46759</v>
      </c>
      <c r="H74" s="31"/>
      <c r="I74" s="31"/>
      <c r="J74" s="14"/>
      <c r="K74" s="31"/>
      <c r="L74" s="31"/>
      <c r="M74" s="29">
        <v>46758</v>
      </c>
    </row>
    <row r="75" spans="1:13" ht="30" customHeight="1" x14ac:dyDescent="0.25">
      <c r="A75" s="10" t="s">
        <v>105</v>
      </c>
      <c r="B75" s="11"/>
      <c r="C75" s="41">
        <v>46337</v>
      </c>
      <c r="D75" s="22">
        <v>46689</v>
      </c>
      <c r="E75" s="41">
        <v>46696</v>
      </c>
      <c r="F75" s="31"/>
      <c r="G75" s="31"/>
      <c r="H75" s="31"/>
      <c r="I75" s="31"/>
      <c r="J75" s="14"/>
      <c r="K75" s="31"/>
      <c r="L75" s="31"/>
      <c r="M75" s="22">
        <v>46211</v>
      </c>
    </row>
    <row r="76" spans="1:13" ht="30" customHeight="1" x14ac:dyDescent="0.25">
      <c r="A76" s="10" t="s">
        <v>106</v>
      </c>
      <c r="B76" s="11"/>
      <c r="C76" s="27"/>
      <c r="D76" s="17"/>
      <c r="E76" s="27"/>
      <c r="F76" s="31"/>
      <c r="G76" s="31"/>
      <c r="H76" s="31"/>
      <c r="I76" s="31"/>
      <c r="J76" s="14"/>
      <c r="K76" s="31"/>
      <c r="L76" s="31"/>
      <c r="M76" s="17"/>
    </row>
    <row r="77" spans="1:13" ht="30" customHeight="1" x14ac:dyDescent="0.25">
      <c r="A77" s="10" t="s">
        <v>107</v>
      </c>
      <c r="B77" s="11"/>
      <c r="C77" s="27"/>
      <c r="D77" s="15">
        <v>46415</v>
      </c>
      <c r="E77" s="27"/>
      <c r="F77" s="32">
        <v>46416</v>
      </c>
      <c r="G77" s="31"/>
      <c r="H77" s="31"/>
      <c r="I77" s="31"/>
      <c r="J77" s="14"/>
      <c r="K77" s="31"/>
      <c r="L77" s="31"/>
      <c r="M77" s="15">
        <v>46418</v>
      </c>
    </row>
    <row r="78" spans="1:13" ht="30" customHeight="1" x14ac:dyDescent="0.25">
      <c r="A78" s="10" t="s">
        <v>108</v>
      </c>
      <c r="B78" s="30">
        <v>46701</v>
      </c>
      <c r="C78" s="27"/>
      <c r="D78" s="29">
        <v>46703</v>
      </c>
      <c r="E78" s="27"/>
      <c r="F78" s="31"/>
      <c r="G78" s="31"/>
      <c r="H78" s="29">
        <v>46580</v>
      </c>
      <c r="I78" s="29"/>
      <c r="J78" s="14"/>
      <c r="K78" s="29">
        <v>46702</v>
      </c>
      <c r="L78" s="29"/>
      <c r="M78" s="29">
        <v>46704</v>
      </c>
    </row>
    <row r="79" spans="1:13" ht="30" customHeight="1" x14ac:dyDescent="0.25">
      <c r="A79" s="10" t="s">
        <v>109</v>
      </c>
      <c r="B79" s="11"/>
      <c r="C79" s="27"/>
      <c r="D79" s="29">
        <v>46253</v>
      </c>
      <c r="E79" s="27"/>
      <c r="F79" s="31"/>
      <c r="G79" s="57">
        <v>46705</v>
      </c>
      <c r="H79" s="31"/>
      <c r="I79" s="31"/>
      <c r="J79" s="14"/>
      <c r="K79" s="31"/>
      <c r="L79" s="31"/>
      <c r="M79" s="29">
        <v>46246</v>
      </c>
    </row>
    <row r="80" spans="1:13" ht="30" customHeight="1" x14ac:dyDescent="0.25">
      <c r="A80" s="10" t="s">
        <v>110</v>
      </c>
      <c r="B80" s="11"/>
      <c r="C80" s="27"/>
      <c r="D80" s="31"/>
      <c r="E80" s="27"/>
      <c r="F80" s="31"/>
      <c r="G80" s="31"/>
      <c r="H80" s="31"/>
      <c r="I80" s="31"/>
      <c r="J80" s="14"/>
      <c r="K80" s="31"/>
      <c r="L80" s="31"/>
      <c r="M80" s="31"/>
    </row>
    <row r="81" spans="1:13" ht="30" customHeight="1" x14ac:dyDescent="0.25">
      <c r="A81" s="10" t="s">
        <v>111</v>
      </c>
      <c r="B81" s="30">
        <v>45990</v>
      </c>
      <c r="C81" s="27"/>
      <c r="D81" s="29">
        <v>46281</v>
      </c>
      <c r="E81" s="27"/>
      <c r="F81" s="31"/>
      <c r="G81" s="31"/>
      <c r="H81" s="31"/>
      <c r="I81" s="29"/>
      <c r="J81" s="14"/>
      <c r="K81" s="29">
        <v>46240</v>
      </c>
      <c r="L81" s="29"/>
      <c r="M81" s="29">
        <v>46283</v>
      </c>
    </row>
    <row r="82" spans="1:13" ht="30" customHeight="1" x14ac:dyDescent="0.25">
      <c r="A82" s="10" t="s">
        <v>112</v>
      </c>
      <c r="B82" s="30">
        <v>46243</v>
      </c>
      <c r="C82" s="27"/>
      <c r="D82" s="29">
        <v>46041</v>
      </c>
      <c r="E82" s="27"/>
      <c r="F82" s="31"/>
      <c r="G82" s="31"/>
      <c r="H82" s="31"/>
      <c r="I82" s="31"/>
      <c r="J82" s="14"/>
      <c r="K82" s="31"/>
      <c r="L82" s="31"/>
      <c r="M82" s="29">
        <v>46049</v>
      </c>
    </row>
    <row r="83" spans="1:13" ht="30" customHeight="1" x14ac:dyDescent="0.25">
      <c r="A83" s="10" t="s">
        <v>113</v>
      </c>
      <c r="B83" s="30">
        <v>46696</v>
      </c>
      <c r="C83" s="27"/>
      <c r="D83" s="29">
        <v>46684</v>
      </c>
      <c r="E83" s="41">
        <v>46691</v>
      </c>
      <c r="F83" s="32">
        <v>46695</v>
      </c>
      <c r="G83" s="32">
        <v>46694</v>
      </c>
      <c r="H83" s="31"/>
      <c r="I83" s="31"/>
      <c r="J83" s="14"/>
      <c r="K83" s="31"/>
      <c r="L83" s="31"/>
      <c r="M83" s="29"/>
    </row>
    <row r="84" spans="1:13" ht="30" customHeight="1" x14ac:dyDescent="0.25">
      <c r="A84" s="10" t="s">
        <v>114</v>
      </c>
      <c r="B84" s="30">
        <v>46696</v>
      </c>
      <c r="C84" s="27"/>
      <c r="D84" s="29">
        <v>46719</v>
      </c>
      <c r="E84" s="41">
        <v>46726</v>
      </c>
      <c r="F84" s="32">
        <v>46695</v>
      </c>
      <c r="G84" s="32">
        <v>46694</v>
      </c>
      <c r="H84" s="31"/>
      <c r="I84" s="31"/>
      <c r="J84" s="14"/>
      <c r="K84" s="31"/>
      <c r="L84" s="31"/>
      <c r="M84" s="29"/>
    </row>
    <row r="85" spans="1:13" ht="30" customHeight="1" x14ac:dyDescent="0.25">
      <c r="A85" s="10" t="s">
        <v>115</v>
      </c>
      <c r="B85" s="30">
        <v>46696</v>
      </c>
      <c r="C85" s="27"/>
      <c r="D85" s="29">
        <v>46684</v>
      </c>
      <c r="E85" s="41">
        <v>46691</v>
      </c>
      <c r="F85" s="32">
        <v>46695</v>
      </c>
      <c r="G85" s="32">
        <v>46694</v>
      </c>
      <c r="H85" s="31"/>
      <c r="I85" s="31"/>
      <c r="J85" s="14"/>
      <c r="K85" s="31"/>
      <c r="L85" s="31"/>
      <c r="M85" s="29"/>
    </row>
    <row r="86" spans="1:13" ht="30" customHeight="1" x14ac:dyDescent="0.25">
      <c r="A86" s="10" t="s">
        <v>116</v>
      </c>
      <c r="B86" s="11"/>
      <c r="C86" s="27"/>
      <c r="D86" s="31"/>
      <c r="E86" s="27"/>
      <c r="F86" s="31"/>
      <c r="G86" s="31"/>
      <c r="H86" s="31"/>
      <c r="I86" s="31"/>
      <c r="J86" s="14"/>
      <c r="K86" s="31"/>
      <c r="L86" s="31"/>
      <c r="M86" s="31"/>
    </row>
    <row r="87" spans="1:13" ht="30" customHeight="1" x14ac:dyDescent="0.25">
      <c r="A87" s="10" t="s">
        <v>117</v>
      </c>
      <c r="B87" s="30">
        <v>46243</v>
      </c>
      <c r="C87" s="27"/>
      <c r="D87" s="29">
        <v>46021</v>
      </c>
      <c r="E87" s="27"/>
      <c r="F87" s="31"/>
      <c r="G87" s="31"/>
      <c r="H87" s="31"/>
      <c r="I87" s="31"/>
      <c r="J87" s="14"/>
      <c r="K87" s="31"/>
      <c r="L87" s="31"/>
      <c r="M87" s="31"/>
    </row>
    <row r="88" spans="1:13" ht="30" customHeight="1" x14ac:dyDescent="0.25">
      <c r="A88" s="10" t="s">
        <v>118</v>
      </c>
      <c r="B88" s="11"/>
      <c r="C88" s="27"/>
      <c r="D88" s="31"/>
      <c r="E88" s="27"/>
      <c r="F88" s="31"/>
      <c r="G88" s="31"/>
      <c r="H88" s="31"/>
      <c r="I88" s="31"/>
      <c r="J88" s="14"/>
      <c r="K88" s="31"/>
      <c r="L88" s="31"/>
      <c r="M88" s="31"/>
    </row>
    <row r="89" spans="1:13" ht="30" customHeight="1" x14ac:dyDescent="0.25">
      <c r="A89" s="10" t="s">
        <v>119</v>
      </c>
      <c r="B89" s="11"/>
      <c r="C89" s="27"/>
      <c r="D89" s="31"/>
      <c r="E89" s="27"/>
      <c r="F89" s="31"/>
      <c r="G89" s="31"/>
      <c r="H89" s="31"/>
      <c r="I89" s="31"/>
      <c r="J89" s="14"/>
      <c r="K89" s="31"/>
      <c r="L89" s="31"/>
      <c r="M89" s="31"/>
    </row>
    <row r="90" spans="1:13" ht="30" customHeight="1" x14ac:dyDescent="0.25">
      <c r="A90" s="10" t="s">
        <v>120</v>
      </c>
      <c r="B90" s="11"/>
      <c r="C90" s="27"/>
      <c r="D90" s="31"/>
      <c r="E90" s="27"/>
      <c r="F90" s="31"/>
      <c r="G90" s="31"/>
      <c r="H90" s="31"/>
      <c r="I90" s="31"/>
      <c r="J90" s="14"/>
      <c r="K90" s="31"/>
      <c r="L90" s="31"/>
      <c r="M90" s="31"/>
    </row>
    <row r="91" spans="1:13" ht="30" customHeight="1" x14ac:dyDescent="0.25">
      <c r="A91" s="10" t="s">
        <v>121</v>
      </c>
      <c r="B91" s="11"/>
      <c r="C91" s="27"/>
      <c r="D91" s="31"/>
      <c r="E91" s="27"/>
      <c r="F91" s="31"/>
      <c r="G91" s="31"/>
      <c r="H91" s="31"/>
      <c r="I91" s="31"/>
      <c r="J91" s="14"/>
      <c r="K91" s="31"/>
      <c r="L91" s="31"/>
      <c r="M91" s="31"/>
    </row>
    <row r="92" spans="1:13" ht="30" customHeight="1" x14ac:dyDescent="0.25">
      <c r="A92" s="10" t="s">
        <v>122</v>
      </c>
      <c r="B92" s="11"/>
      <c r="C92" s="27"/>
      <c r="D92" s="32">
        <v>46327</v>
      </c>
      <c r="E92" s="27"/>
      <c r="F92" s="31"/>
      <c r="G92" s="31"/>
      <c r="H92" s="32">
        <v>46762</v>
      </c>
      <c r="I92" s="31"/>
      <c r="J92" s="14"/>
      <c r="K92" s="32">
        <v>46337</v>
      </c>
      <c r="L92" s="31"/>
      <c r="M92" s="32">
        <v>46332</v>
      </c>
    </row>
    <row r="93" spans="1:13" ht="30" customHeight="1" x14ac:dyDescent="0.25">
      <c r="A93" s="10" t="s">
        <v>123</v>
      </c>
      <c r="B93" s="11"/>
      <c r="C93" s="42">
        <v>46318</v>
      </c>
      <c r="D93" s="32">
        <v>46690</v>
      </c>
      <c r="E93" s="41">
        <v>46697</v>
      </c>
      <c r="F93" s="31"/>
      <c r="G93" s="31"/>
      <c r="H93" s="31"/>
      <c r="I93" s="31"/>
      <c r="J93" s="14"/>
      <c r="K93" s="31"/>
      <c r="L93" s="31"/>
      <c r="M93" s="31"/>
    </row>
    <row r="94" spans="1:13" ht="30" customHeight="1" x14ac:dyDescent="0.25">
      <c r="A94" s="10" t="s">
        <v>124</v>
      </c>
      <c r="B94" s="30">
        <v>46121</v>
      </c>
      <c r="C94" s="27"/>
      <c r="D94" s="29">
        <v>46281</v>
      </c>
      <c r="E94" s="27"/>
      <c r="F94" s="31"/>
      <c r="G94" s="31"/>
      <c r="H94" s="31"/>
      <c r="I94" s="29"/>
      <c r="J94" s="14"/>
      <c r="K94" s="29">
        <v>46259</v>
      </c>
      <c r="L94" s="29">
        <v>46318</v>
      </c>
      <c r="M94" s="29">
        <v>46277</v>
      </c>
    </row>
    <row r="95" spans="1:13" ht="30" customHeight="1" x14ac:dyDescent="0.25">
      <c r="A95" s="10" t="s">
        <v>125</v>
      </c>
      <c r="B95" s="11"/>
      <c r="C95" s="27"/>
      <c r="D95" s="32">
        <v>46719</v>
      </c>
      <c r="E95" s="27"/>
      <c r="F95" s="31"/>
      <c r="G95" s="31"/>
      <c r="H95" s="31"/>
      <c r="I95" s="31"/>
      <c r="J95" s="14"/>
      <c r="K95" s="31"/>
      <c r="L95" s="31"/>
      <c r="M95" s="32">
        <v>46724</v>
      </c>
    </row>
    <row r="96" spans="1:13" ht="30" customHeight="1" x14ac:dyDescent="0.25">
      <c r="A96" s="10" t="s">
        <v>126</v>
      </c>
      <c r="B96" s="30">
        <v>46645</v>
      </c>
      <c r="C96" s="68">
        <v>46319</v>
      </c>
      <c r="D96" s="15">
        <v>46572</v>
      </c>
      <c r="E96" s="41">
        <v>46621</v>
      </c>
      <c r="F96" s="22">
        <v>46586</v>
      </c>
      <c r="G96" s="22">
        <v>46626</v>
      </c>
      <c r="H96" s="22">
        <v>46575</v>
      </c>
      <c r="I96" s="22"/>
      <c r="J96" s="14"/>
      <c r="K96" s="22">
        <v>46204</v>
      </c>
      <c r="L96" s="22"/>
      <c r="M96" s="22">
        <v>46183</v>
      </c>
    </row>
    <row r="97" spans="1:13" ht="30" customHeight="1" x14ac:dyDescent="0.25">
      <c r="A97" s="10" t="s">
        <v>127</v>
      </c>
      <c r="B97" s="11"/>
      <c r="C97" s="27"/>
      <c r="D97" s="31"/>
      <c r="E97" s="27"/>
      <c r="F97" s="31"/>
      <c r="G97" s="31"/>
      <c r="H97" s="22">
        <v>46598</v>
      </c>
      <c r="I97" s="31"/>
      <c r="J97" s="14"/>
      <c r="K97" s="31"/>
      <c r="L97" s="31"/>
      <c r="M97" s="31"/>
    </row>
    <row r="98" spans="1:13" ht="30" customHeight="1" x14ac:dyDescent="0.25">
      <c r="A98" s="10" t="s">
        <v>128</v>
      </c>
      <c r="B98" s="24"/>
      <c r="C98" s="27"/>
      <c r="D98" s="31"/>
      <c r="E98" s="27"/>
      <c r="F98" s="31"/>
      <c r="G98" s="31"/>
      <c r="H98" s="31"/>
      <c r="I98" s="31"/>
      <c r="J98" s="14"/>
      <c r="K98" s="51"/>
      <c r="L98" s="31"/>
      <c r="M98" s="31"/>
    </row>
    <row r="99" spans="1:13" ht="30" customHeight="1" x14ac:dyDescent="0.25">
      <c r="A99" s="10" t="s">
        <v>129</v>
      </c>
      <c r="B99" s="46">
        <v>46759</v>
      </c>
      <c r="C99" s="68">
        <v>46319</v>
      </c>
      <c r="D99" s="29">
        <v>46758</v>
      </c>
      <c r="E99" s="27"/>
      <c r="F99" s="22">
        <v>46645</v>
      </c>
      <c r="G99" s="22">
        <v>46642</v>
      </c>
      <c r="H99" s="31"/>
      <c r="I99" s="29"/>
      <c r="J99" s="14"/>
      <c r="K99" s="46">
        <v>46232</v>
      </c>
      <c r="L99" s="29">
        <v>46291</v>
      </c>
      <c r="M99" s="29">
        <v>46758</v>
      </c>
    </row>
    <row r="100" spans="1:13" ht="30" customHeight="1" x14ac:dyDescent="0.25">
      <c r="A100" s="28" t="s">
        <v>130</v>
      </c>
      <c r="B100" s="44"/>
      <c r="C100" s="27"/>
      <c r="D100" s="31"/>
      <c r="E100" s="27"/>
      <c r="F100" s="31"/>
      <c r="G100" s="31"/>
      <c r="H100" s="31"/>
      <c r="I100" s="31"/>
      <c r="J100" s="14"/>
      <c r="K100" s="53"/>
      <c r="L100" s="31"/>
      <c r="M100" s="31"/>
    </row>
    <row r="101" spans="1:13" ht="30" customHeight="1" x14ac:dyDescent="0.25">
      <c r="A101" s="10" t="s">
        <v>131</v>
      </c>
      <c r="B101" s="11"/>
      <c r="C101" s="27"/>
      <c r="D101" s="29">
        <v>46549</v>
      </c>
      <c r="E101" s="27"/>
      <c r="F101" s="31"/>
      <c r="G101" s="31"/>
      <c r="H101" s="31"/>
      <c r="I101" s="29"/>
      <c r="J101" s="14"/>
      <c r="K101" s="29">
        <v>46190</v>
      </c>
      <c r="L101" s="29"/>
      <c r="M101" s="29">
        <v>46556</v>
      </c>
    </row>
    <row r="102" spans="1:13" ht="30" customHeight="1" x14ac:dyDescent="0.25">
      <c r="A102" s="10" t="s">
        <v>132</v>
      </c>
      <c r="B102" s="11"/>
      <c r="C102" s="27"/>
      <c r="D102" s="29">
        <v>46549</v>
      </c>
      <c r="E102" s="27"/>
      <c r="F102" s="31"/>
      <c r="G102" s="31"/>
      <c r="H102" s="29">
        <v>45992</v>
      </c>
      <c r="I102" s="29"/>
      <c r="J102" s="14"/>
      <c r="K102" s="29">
        <v>45836</v>
      </c>
      <c r="L102" s="29"/>
      <c r="M102" s="29">
        <v>46556</v>
      </c>
    </row>
    <row r="103" spans="1:13" ht="30" customHeight="1" x14ac:dyDescent="0.25">
      <c r="A103" s="10" t="s">
        <v>133</v>
      </c>
      <c r="B103" s="11"/>
      <c r="C103" s="27"/>
      <c r="D103" s="31"/>
      <c r="E103" s="27"/>
      <c r="F103" s="31"/>
      <c r="G103" s="31"/>
      <c r="H103" s="31"/>
      <c r="I103" s="31"/>
      <c r="J103" s="14"/>
      <c r="K103" s="31"/>
      <c r="L103" s="31"/>
      <c r="M103" s="31"/>
    </row>
    <row r="104" spans="1:13" ht="30" customHeight="1" x14ac:dyDescent="0.25">
      <c r="A104" s="10" t="s">
        <v>134</v>
      </c>
      <c r="B104" s="11"/>
      <c r="C104" s="27"/>
      <c r="D104" s="31"/>
      <c r="E104" s="27"/>
      <c r="F104" s="31"/>
      <c r="G104" s="31"/>
      <c r="H104" s="31"/>
      <c r="I104" s="31"/>
      <c r="J104" s="14"/>
      <c r="K104" s="31"/>
      <c r="L104" s="31"/>
      <c r="M104" s="31"/>
    </row>
    <row r="105" spans="1:13" ht="30" customHeight="1" x14ac:dyDescent="0.25">
      <c r="A105" s="10" t="s">
        <v>135</v>
      </c>
      <c r="B105" s="11"/>
      <c r="C105" s="68"/>
      <c r="D105" s="32">
        <v>46243</v>
      </c>
      <c r="E105" s="27"/>
      <c r="F105" s="31"/>
      <c r="G105" s="32">
        <v>46270</v>
      </c>
      <c r="H105" s="31"/>
      <c r="I105" s="31"/>
      <c r="J105" s="14"/>
      <c r="K105" s="31"/>
      <c r="L105" s="31"/>
      <c r="M105" s="32">
        <v>46236</v>
      </c>
    </row>
    <row r="106" spans="1:13" ht="30" customHeight="1" x14ac:dyDescent="0.25">
      <c r="A106" s="10" t="s">
        <v>136</v>
      </c>
      <c r="B106" s="47">
        <v>45996</v>
      </c>
      <c r="C106" s="68">
        <v>46319</v>
      </c>
      <c r="D106" s="29">
        <v>46194</v>
      </c>
      <c r="E106" s="27"/>
      <c r="F106" s="29">
        <v>46445</v>
      </c>
      <c r="G106" s="22">
        <v>46626</v>
      </c>
      <c r="H106" s="31"/>
      <c r="I106" s="29"/>
      <c r="J106" s="14"/>
      <c r="K106" s="29">
        <v>46155</v>
      </c>
      <c r="L106" s="29">
        <v>46290</v>
      </c>
      <c r="M106" s="29">
        <v>46444</v>
      </c>
    </row>
    <row r="107" spans="1:13" ht="30" customHeight="1" x14ac:dyDescent="0.25">
      <c r="A107" s="10" t="s">
        <v>137</v>
      </c>
      <c r="B107" s="11"/>
      <c r="C107" s="27"/>
      <c r="D107" s="31"/>
      <c r="E107" s="27"/>
      <c r="F107" s="31"/>
      <c r="G107" s="31"/>
      <c r="H107" s="31"/>
      <c r="I107" s="31"/>
      <c r="J107" s="14"/>
      <c r="K107" s="31"/>
      <c r="L107" s="31"/>
      <c r="M107" s="31"/>
    </row>
    <row r="108" spans="1:13" ht="30" customHeight="1" x14ac:dyDescent="0.25">
      <c r="A108" s="10" t="s">
        <v>138</v>
      </c>
      <c r="B108" s="11"/>
      <c r="C108" s="27"/>
      <c r="D108" s="32">
        <v>46704</v>
      </c>
      <c r="E108" s="27"/>
      <c r="F108" s="31"/>
      <c r="G108" s="22">
        <v>46582</v>
      </c>
      <c r="H108" s="31"/>
      <c r="I108" s="31"/>
      <c r="J108" s="14"/>
      <c r="K108" s="31"/>
      <c r="L108" s="31"/>
      <c r="M108" s="32">
        <v>46432</v>
      </c>
    </row>
    <row r="109" spans="1:13" ht="30" customHeight="1" x14ac:dyDescent="0.25">
      <c r="A109" s="10" t="s">
        <v>139</v>
      </c>
      <c r="B109" s="11"/>
      <c r="C109" s="27"/>
      <c r="D109" s="31"/>
      <c r="E109" s="27"/>
      <c r="F109" s="31"/>
      <c r="G109" s="31"/>
      <c r="H109" s="31"/>
      <c r="I109" s="31"/>
      <c r="J109" s="14"/>
      <c r="K109" s="31"/>
      <c r="L109" s="31"/>
      <c r="M109" s="31"/>
    </row>
    <row r="110" spans="1:13" ht="30" customHeight="1" x14ac:dyDescent="0.25">
      <c r="A110" s="10" t="s">
        <v>140</v>
      </c>
      <c r="B110" s="11"/>
      <c r="C110" s="27"/>
      <c r="D110" s="31"/>
      <c r="E110" s="27"/>
      <c r="F110" s="31"/>
      <c r="G110" s="31"/>
      <c r="H110" s="31"/>
      <c r="I110" s="31"/>
      <c r="J110" s="14"/>
      <c r="K110" s="31"/>
      <c r="L110" s="31"/>
      <c r="M110" s="31"/>
    </row>
    <row r="111" spans="1:13" ht="30" customHeight="1" x14ac:dyDescent="0.25">
      <c r="A111" s="10" t="s">
        <v>141</v>
      </c>
      <c r="B111" s="30">
        <v>46674</v>
      </c>
      <c r="C111" s="27"/>
      <c r="D111" s="29">
        <v>46703</v>
      </c>
      <c r="E111" s="27"/>
      <c r="F111" s="31"/>
      <c r="G111" s="31"/>
      <c r="H111" s="29">
        <v>46215</v>
      </c>
      <c r="I111" s="29"/>
      <c r="J111" s="14"/>
      <c r="K111" s="29">
        <v>46702</v>
      </c>
      <c r="L111" s="29"/>
      <c r="M111" s="29">
        <v>46704</v>
      </c>
    </row>
    <row r="112" spans="1:13" ht="30" customHeight="1" x14ac:dyDescent="0.25">
      <c r="A112" s="10" t="s">
        <v>142</v>
      </c>
      <c r="B112" s="11"/>
      <c r="C112" s="27"/>
      <c r="D112" s="31"/>
      <c r="E112" s="27"/>
      <c r="F112" s="31"/>
      <c r="G112" s="31"/>
      <c r="H112" s="31"/>
      <c r="I112" s="31"/>
      <c r="J112" s="14"/>
      <c r="K112" s="31"/>
      <c r="L112" s="31"/>
      <c r="M112" s="31"/>
    </row>
    <row r="113" spans="1:13" ht="30" customHeight="1" x14ac:dyDescent="0.25">
      <c r="A113" s="10" t="s">
        <v>143</v>
      </c>
      <c r="B113" s="11"/>
      <c r="C113" s="27"/>
      <c r="D113" s="31"/>
      <c r="E113" s="27"/>
      <c r="F113" s="31"/>
      <c r="G113" s="31"/>
      <c r="H113" s="31"/>
      <c r="I113" s="31"/>
      <c r="J113" s="14"/>
      <c r="K113" s="31"/>
      <c r="L113" s="31"/>
      <c r="M113" s="31"/>
    </row>
    <row r="114" spans="1:13" ht="30" customHeight="1" x14ac:dyDescent="0.25">
      <c r="A114" s="10" t="s">
        <v>144</v>
      </c>
      <c r="B114" s="11"/>
      <c r="C114" s="27"/>
      <c r="D114" s="32">
        <v>46767</v>
      </c>
      <c r="E114" s="27"/>
      <c r="F114" s="31"/>
      <c r="G114" s="31"/>
      <c r="H114" s="29">
        <v>46256</v>
      </c>
      <c r="I114" s="31"/>
      <c r="J114" s="14"/>
      <c r="K114" s="31"/>
      <c r="L114" s="31"/>
      <c r="M114" s="29">
        <v>46760</v>
      </c>
    </row>
    <row r="115" spans="1:13" ht="30" customHeight="1" x14ac:dyDescent="0.25">
      <c r="A115" s="10" t="s">
        <v>145</v>
      </c>
      <c r="B115" s="11"/>
      <c r="C115" s="27"/>
      <c r="D115" s="31"/>
      <c r="E115" s="27"/>
      <c r="F115" s="31"/>
      <c r="G115" s="31"/>
      <c r="H115" s="31"/>
      <c r="I115" s="31"/>
      <c r="J115" s="14"/>
      <c r="K115" s="31"/>
      <c r="L115" s="31"/>
      <c r="M115" s="31"/>
    </row>
    <row r="116" spans="1:13" ht="30" customHeight="1" x14ac:dyDescent="0.25">
      <c r="A116" s="10" t="s">
        <v>146</v>
      </c>
      <c r="B116" s="11"/>
      <c r="C116" s="27"/>
      <c r="D116" s="31"/>
      <c r="E116" s="27"/>
      <c r="F116" s="31"/>
      <c r="G116" s="31"/>
      <c r="H116" s="31"/>
      <c r="I116" s="31"/>
      <c r="J116" s="14"/>
      <c r="K116" s="31"/>
      <c r="L116" s="31"/>
      <c r="M116" s="31"/>
    </row>
    <row r="117" spans="1:13" ht="30" customHeight="1" x14ac:dyDescent="0.25">
      <c r="A117" s="10" t="s">
        <v>147</v>
      </c>
      <c r="B117" s="11"/>
      <c r="C117" s="27"/>
      <c r="D117" s="31"/>
      <c r="E117" s="27"/>
      <c r="F117" s="31"/>
      <c r="G117" s="31"/>
      <c r="H117" s="31"/>
      <c r="I117" s="31"/>
      <c r="J117" s="14"/>
      <c r="K117" s="31"/>
      <c r="L117" s="31"/>
      <c r="M117" s="31"/>
    </row>
    <row r="118" spans="1:13" ht="30" customHeight="1" x14ac:dyDescent="0.25">
      <c r="A118" s="10" t="s">
        <v>148</v>
      </c>
      <c r="B118" s="11"/>
      <c r="C118" s="27"/>
      <c r="D118" s="31"/>
      <c r="E118" s="27"/>
      <c r="F118" s="31"/>
      <c r="G118" s="31"/>
      <c r="H118" s="31"/>
      <c r="I118" s="31"/>
      <c r="J118" s="14"/>
      <c r="K118" s="31"/>
      <c r="L118" s="31"/>
      <c r="M118" s="31"/>
    </row>
    <row r="119" spans="1:13" ht="30" customHeight="1" x14ac:dyDescent="0.25">
      <c r="A119" s="10" t="s">
        <v>149</v>
      </c>
      <c r="B119" s="11"/>
      <c r="C119" s="27"/>
      <c r="D119" s="31"/>
      <c r="E119" s="27"/>
      <c r="F119" s="31"/>
      <c r="G119" s="31"/>
      <c r="H119" s="31"/>
      <c r="I119" s="31"/>
      <c r="J119" s="14"/>
      <c r="K119" s="31"/>
      <c r="L119" s="31"/>
      <c r="M119" s="31"/>
    </row>
    <row r="120" spans="1:13" ht="30" customHeight="1" x14ac:dyDescent="0.25">
      <c r="A120" s="10" t="s">
        <v>150</v>
      </c>
      <c r="B120" s="11"/>
      <c r="C120" s="27"/>
      <c r="D120" s="31"/>
      <c r="E120" s="27"/>
      <c r="F120" s="31"/>
      <c r="G120" s="31"/>
      <c r="H120" s="31"/>
      <c r="I120" s="31"/>
      <c r="J120" s="14"/>
      <c r="K120" s="31"/>
      <c r="L120" s="31"/>
      <c r="M120" s="31"/>
    </row>
    <row r="121" spans="1:13" ht="30" customHeight="1" x14ac:dyDescent="0.25">
      <c r="A121" s="10" t="s">
        <v>150</v>
      </c>
      <c r="B121" s="11"/>
      <c r="C121" s="27"/>
      <c r="D121" s="32">
        <v>46159</v>
      </c>
      <c r="E121" s="27"/>
      <c r="F121" s="29">
        <v>46103</v>
      </c>
      <c r="G121" s="31"/>
      <c r="H121" s="32">
        <v>46527</v>
      </c>
      <c r="I121" s="31"/>
      <c r="J121" s="14"/>
      <c r="K121" s="31"/>
      <c r="L121" s="31"/>
      <c r="M121" s="29">
        <v>46360</v>
      </c>
    </row>
    <row r="122" spans="1:13" ht="30" customHeight="1" x14ac:dyDescent="0.25">
      <c r="A122" s="10" t="s">
        <v>151</v>
      </c>
      <c r="B122" s="30">
        <v>46645</v>
      </c>
      <c r="C122" s="68">
        <v>46319</v>
      </c>
      <c r="D122" s="22">
        <v>46583</v>
      </c>
      <c r="E122" s="41">
        <v>46621</v>
      </c>
      <c r="F122" s="22">
        <v>46585</v>
      </c>
      <c r="G122" s="22">
        <v>46626</v>
      </c>
      <c r="H122" s="22">
        <v>46571</v>
      </c>
      <c r="I122" s="22"/>
      <c r="J122" s="14"/>
      <c r="K122" s="22">
        <v>46204</v>
      </c>
      <c r="L122" s="22">
        <v>46296</v>
      </c>
      <c r="M122" s="22">
        <v>46572</v>
      </c>
    </row>
    <row r="123" spans="1:13" ht="30" customHeight="1" x14ac:dyDescent="0.25">
      <c r="A123" s="10" t="s">
        <v>152</v>
      </c>
      <c r="B123" s="11"/>
      <c r="C123" s="27"/>
      <c r="D123" s="29">
        <v>46403</v>
      </c>
      <c r="E123" s="27"/>
      <c r="F123" s="31"/>
      <c r="G123" s="29">
        <v>46258</v>
      </c>
      <c r="H123" s="29">
        <v>46698</v>
      </c>
      <c r="I123" s="31"/>
      <c r="J123" s="14"/>
      <c r="K123" s="31"/>
      <c r="L123" s="31"/>
      <c r="M123" s="29">
        <v>46404</v>
      </c>
    </row>
    <row r="124" spans="1:13" ht="30" customHeight="1" x14ac:dyDescent="0.25">
      <c r="A124" s="10" t="s">
        <v>153</v>
      </c>
      <c r="B124" s="11"/>
      <c r="C124" s="27"/>
      <c r="D124" s="29">
        <v>46624</v>
      </c>
      <c r="E124" s="27"/>
      <c r="F124" s="29">
        <v>46626</v>
      </c>
      <c r="G124" s="31"/>
      <c r="H124" s="31"/>
      <c r="I124" s="22"/>
      <c r="J124" s="14"/>
      <c r="K124" s="22">
        <v>46263</v>
      </c>
      <c r="L124" s="22"/>
      <c r="M124" s="29">
        <v>46621</v>
      </c>
    </row>
    <row r="125" spans="1:13" ht="30" customHeight="1" x14ac:dyDescent="0.25">
      <c r="A125" s="10" t="s">
        <v>154</v>
      </c>
      <c r="B125" s="11"/>
      <c r="C125" s="27"/>
      <c r="D125" s="31"/>
      <c r="E125" s="27"/>
      <c r="F125" s="31"/>
      <c r="G125" s="31"/>
      <c r="H125" s="31"/>
      <c r="I125" s="31"/>
      <c r="J125" s="14"/>
      <c r="K125" s="31"/>
      <c r="L125" s="31"/>
      <c r="M125" s="31"/>
    </row>
    <row r="126" spans="1:13" ht="30" customHeight="1" x14ac:dyDescent="0.25">
      <c r="A126" s="10" t="s">
        <v>155</v>
      </c>
      <c r="B126" s="11"/>
      <c r="C126" s="27"/>
      <c r="D126" s="31"/>
      <c r="E126" s="27"/>
      <c r="F126" s="31"/>
      <c r="G126" s="31"/>
      <c r="H126" s="31"/>
      <c r="I126" s="31"/>
      <c r="J126" s="14"/>
      <c r="K126" s="31"/>
      <c r="L126" s="31"/>
      <c r="M126" s="31"/>
    </row>
    <row r="127" spans="1:13" ht="30" customHeight="1" x14ac:dyDescent="0.25">
      <c r="A127" s="10" t="s">
        <v>156</v>
      </c>
      <c r="B127" s="30">
        <v>46645</v>
      </c>
      <c r="C127" s="68">
        <v>46319</v>
      </c>
      <c r="D127" s="22">
        <v>46593</v>
      </c>
      <c r="E127" s="27"/>
      <c r="F127" s="22">
        <v>46585</v>
      </c>
      <c r="G127" s="29">
        <v>46626</v>
      </c>
      <c r="H127" s="22">
        <v>46598</v>
      </c>
      <c r="I127" s="22"/>
      <c r="J127" s="14"/>
      <c r="K127" s="22">
        <v>46232</v>
      </c>
      <c r="L127" s="22"/>
      <c r="M127" s="22">
        <v>46586</v>
      </c>
    </row>
    <row r="128" spans="1:13" ht="30" customHeight="1" x14ac:dyDescent="0.25">
      <c r="A128" s="10" t="s">
        <v>157</v>
      </c>
      <c r="B128" s="11"/>
      <c r="C128" s="27"/>
      <c r="D128" s="17"/>
      <c r="E128" s="27"/>
      <c r="F128" s="17"/>
      <c r="G128" s="31"/>
      <c r="H128" s="17"/>
      <c r="I128" s="17"/>
      <c r="J128" s="14"/>
      <c r="K128" s="17"/>
      <c r="L128" s="17"/>
      <c r="M128" s="17"/>
    </row>
    <row r="129" spans="1:13" ht="30" customHeight="1" x14ac:dyDescent="0.25">
      <c r="A129" s="10" t="s">
        <v>158</v>
      </c>
      <c r="B129" s="11"/>
      <c r="C129" s="27"/>
      <c r="D129" s="31"/>
      <c r="E129" s="27"/>
      <c r="F129" s="31"/>
      <c r="G129" s="31"/>
      <c r="H129" s="31"/>
      <c r="I129" s="31"/>
      <c r="J129" s="14"/>
      <c r="K129" s="31"/>
      <c r="L129" s="31"/>
      <c r="M129" s="31"/>
    </row>
    <row r="130" spans="1:13" ht="30" customHeight="1" x14ac:dyDescent="0.25">
      <c r="A130" s="10" t="s">
        <v>159</v>
      </c>
      <c r="B130" s="11"/>
      <c r="C130" s="27"/>
      <c r="D130" s="31"/>
      <c r="E130" s="27"/>
      <c r="F130" s="31"/>
      <c r="G130" s="31"/>
      <c r="H130" s="31"/>
      <c r="I130" s="31"/>
      <c r="J130" s="14"/>
      <c r="K130" s="31"/>
      <c r="L130" s="31"/>
      <c r="M130" s="31"/>
    </row>
    <row r="131" spans="1:13" ht="30" customHeight="1" x14ac:dyDescent="0.25">
      <c r="A131" s="10" t="s">
        <v>160</v>
      </c>
      <c r="B131" s="11"/>
      <c r="C131" s="27"/>
      <c r="D131" s="22">
        <v>46317</v>
      </c>
      <c r="E131" s="27"/>
      <c r="F131" s="31"/>
      <c r="G131" s="31"/>
      <c r="H131" s="31"/>
      <c r="I131" s="22"/>
      <c r="J131" s="14"/>
      <c r="K131" s="22">
        <v>46332</v>
      </c>
      <c r="L131" s="22"/>
      <c r="M131" s="22">
        <v>46320</v>
      </c>
    </row>
    <row r="132" spans="1:13" ht="30" customHeight="1" x14ac:dyDescent="0.25">
      <c r="A132" s="10" t="s">
        <v>161</v>
      </c>
      <c r="B132" s="11"/>
      <c r="C132" s="27"/>
      <c r="D132" s="32">
        <v>46704</v>
      </c>
      <c r="E132" s="27"/>
      <c r="F132" s="31"/>
      <c r="G132" s="31"/>
      <c r="H132" s="31"/>
      <c r="I132" s="31"/>
      <c r="J132" s="14"/>
      <c r="K132" s="31"/>
      <c r="L132" s="31"/>
      <c r="M132" s="32">
        <v>46705</v>
      </c>
    </row>
    <row r="133" spans="1:13" ht="30" customHeight="1" x14ac:dyDescent="0.25">
      <c r="A133" s="10" t="s">
        <v>162</v>
      </c>
      <c r="B133" s="11"/>
      <c r="C133" s="27"/>
      <c r="D133" s="22">
        <v>46340</v>
      </c>
      <c r="E133" s="27"/>
      <c r="F133" s="31"/>
      <c r="G133" s="31"/>
      <c r="H133" s="31"/>
      <c r="I133" s="31"/>
      <c r="J133" s="14"/>
      <c r="K133" s="31"/>
      <c r="L133" s="31"/>
      <c r="M133" s="31"/>
    </row>
    <row r="134" spans="1:13" ht="30" customHeight="1" x14ac:dyDescent="0.25">
      <c r="A134" s="10" t="s">
        <v>163</v>
      </c>
      <c r="B134" s="11"/>
      <c r="C134" s="27"/>
      <c r="D134" s="15">
        <v>46719</v>
      </c>
      <c r="E134" s="27"/>
      <c r="F134" s="31"/>
      <c r="G134" s="31"/>
      <c r="H134" s="31"/>
      <c r="I134" s="31"/>
      <c r="J134" s="14"/>
      <c r="K134" s="31"/>
      <c r="L134" s="31"/>
      <c r="M134" s="32">
        <v>46724</v>
      </c>
    </row>
    <row r="135" spans="1:13" ht="30" customHeight="1" x14ac:dyDescent="0.25">
      <c r="A135" s="10" t="s">
        <v>164</v>
      </c>
      <c r="B135" s="76">
        <v>44622</v>
      </c>
      <c r="C135" s="27"/>
      <c r="D135" s="15"/>
      <c r="E135" s="27"/>
      <c r="F135" s="31"/>
      <c r="G135" s="31"/>
      <c r="H135" s="31"/>
      <c r="I135" s="31"/>
      <c r="J135" s="14"/>
      <c r="K135" s="31"/>
      <c r="L135" s="31"/>
      <c r="M135" s="32">
        <v>46234</v>
      </c>
    </row>
    <row r="136" spans="1:13" ht="30" customHeight="1" x14ac:dyDescent="0.25">
      <c r="A136" s="10" t="s">
        <v>165</v>
      </c>
      <c r="B136" s="11"/>
      <c r="C136" s="27"/>
      <c r="D136" s="31"/>
      <c r="E136" s="27"/>
      <c r="F136" s="31"/>
      <c r="G136" s="31"/>
      <c r="H136" s="31"/>
      <c r="I136" s="31"/>
      <c r="J136" s="14"/>
      <c r="K136" s="31"/>
      <c r="L136" s="31"/>
      <c r="M136" s="31"/>
    </row>
    <row r="137" spans="1:13" ht="30" customHeight="1" x14ac:dyDescent="0.25">
      <c r="A137" s="10" t="s">
        <v>166</v>
      </c>
      <c r="B137" s="11"/>
      <c r="C137" s="27"/>
      <c r="D137" s="31"/>
      <c r="E137" s="27"/>
      <c r="F137" s="31"/>
      <c r="G137" s="31"/>
      <c r="H137" s="31"/>
      <c r="I137" s="31"/>
      <c r="J137" s="14"/>
      <c r="K137" s="31"/>
      <c r="L137" s="31"/>
      <c r="M137" s="31"/>
    </row>
    <row r="138" spans="1:13" ht="30" customHeight="1" x14ac:dyDescent="0.25">
      <c r="A138" s="10" t="s">
        <v>167</v>
      </c>
      <c r="B138" s="11"/>
      <c r="C138" s="27"/>
      <c r="D138" s="31"/>
      <c r="E138" s="27"/>
      <c r="F138" s="31"/>
      <c r="G138" s="31"/>
      <c r="H138" s="31"/>
      <c r="I138" s="31"/>
      <c r="J138" s="14"/>
      <c r="K138" s="31"/>
      <c r="L138" s="31"/>
      <c r="M138" s="31"/>
    </row>
    <row r="139" spans="1:13" ht="30" customHeight="1" x14ac:dyDescent="0.25">
      <c r="A139" s="10" t="s">
        <v>168</v>
      </c>
      <c r="B139" s="11"/>
      <c r="C139" s="27"/>
      <c r="D139" s="31"/>
      <c r="E139" s="27"/>
      <c r="F139" s="31"/>
      <c r="G139" s="31"/>
      <c r="H139" s="31"/>
      <c r="I139" s="31"/>
      <c r="J139" s="14"/>
      <c r="K139" s="31"/>
      <c r="L139" s="31"/>
      <c r="M139" s="31"/>
    </row>
    <row r="140" spans="1:13" ht="30" customHeight="1" x14ac:dyDescent="0.25">
      <c r="A140" s="10" t="s">
        <v>169</v>
      </c>
      <c r="B140" s="11"/>
      <c r="C140" s="27"/>
      <c r="D140" s="31"/>
      <c r="E140" s="27"/>
      <c r="F140" s="31"/>
      <c r="G140" s="31"/>
      <c r="H140" s="31"/>
      <c r="I140" s="31"/>
      <c r="J140" s="14"/>
      <c r="K140" s="31"/>
      <c r="L140" s="31"/>
      <c r="M140" s="31"/>
    </row>
    <row r="141" spans="1:13" ht="30" customHeight="1" x14ac:dyDescent="0.25">
      <c r="A141" s="10" t="s">
        <v>170</v>
      </c>
      <c r="B141" s="32">
        <v>46802</v>
      </c>
      <c r="C141" s="27"/>
      <c r="D141" s="32">
        <v>46801</v>
      </c>
      <c r="E141" s="27"/>
      <c r="F141" s="32">
        <v>46803</v>
      </c>
      <c r="G141" s="32">
        <v>46802</v>
      </c>
      <c r="H141" s="31"/>
      <c r="I141" s="31"/>
      <c r="J141" s="14"/>
      <c r="K141" s="31"/>
      <c r="L141" s="31"/>
      <c r="M141" s="32">
        <v>46796</v>
      </c>
    </row>
    <row r="142" spans="1:13" ht="30" customHeight="1" x14ac:dyDescent="0.25">
      <c r="A142" s="10" t="s">
        <v>171</v>
      </c>
      <c r="B142" s="11"/>
      <c r="C142" s="27"/>
      <c r="D142" s="29">
        <v>46333</v>
      </c>
      <c r="E142" s="27"/>
      <c r="F142" s="31"/>
      <c r="G142" s="31"/>
      <c r="H142" s="31"/>
      <c r="I142" s="31"/>
      <c r="J142" s="14"/>
      <c r="K142" s="31"/>
      <c r="L142" s="31"/>
      <c r="M142" s="31"/>
    </row>
    <row r="143" spans="1:13" ht="30" customHeight="1" x14ac:dyDescent="0.25">
      <c r="A143" s="10" t="s">
        <v>172</v>
      </c>
      <c r="B143" s="11"/>
      <c r="C143" s="27"/>
      <c r="D143" s="31"/>
      <c r="E143" s="27"/>
      <c r="F143" s="31"/>
      <c r="G143" s="31"/>
      <c r="H143" s="31"/>
      <c r="I143" s="31"/>
      <c r="J143" s="14"/>
      <c r="K143" s="31"/>
      <c r="L143" s="31"/>
      <c r="M143" s="31"/>
    </row>
    <row r="144" spans="1:13" ht="30" customHeight="1" x14ac:dyDescent="0.25">
      <c r="A144" s="10" t="s">
        <v>173</v>
      </c>
      <c r="B144" s="11"/>
      <c r="C144" s="27"/>
      <c r="D144" s="31"/>
      <c r="E144" s="27"/>
      <c r="F144" s="31"/>
      <c r="G144" s="31"/>
      <c r="H144" s="31"/>
      <c r="I144" s="31"/>
      <c r="J144" s="14"/>
      <c r="K144" s="31"/>
      <c r="L144" s="31"/>
      <c r="M144" s="31"/>
    </row>
    <row r="145" spans="1:13" ht="30" customHeight="1" x14ac:dyDescent="0.25">
      <c r="A145" s="10" t="s">
        <v>174</v>
      </c>
      <c r="B145" s="11"/>
      <c r="C145" s="27"/>
      <c r="D145" s="29">
        <v>46355</v>
      </c>
      <c r="E145" s="27"/>
      <c r="F145" s="31"/>
      <c r="G145" s="31"/>
      <c r="H145" s="31"/>
      <c r="I145" s="29"/>
      <c r="J145" s="14"/>
      <c r="K145" s="32">
        <v>46337</v>
      </c>
      <c r="L145" s="29"/>
      <c r="M145" s="22">
        <v>46348</v>
      </c>
    </row>
    <row r="146" spans="1:13" ht="30" customHeight="1" x14ac:dyDescent="0.25">
      <c r="A146" s="10" t="s">
        <v>175</v>
      </c>
      <c r="B146" s="11"/>
      <c r="C146" s="27"/>
      <c r="D146" s="31"/>
      <c r="E146" s="27"/>
      <c r="F146" s="31"/>
      <c r="G146" s="31"/>
      <c r="H146" s="31"/>
      <c r="I146" s="31"/>
      <c r="J146" s="14"/>
      <c r="K146" s="31"/>
      <c r="L146" s="31"/>
      <c r="M146" s="22">
        <v>46361</v>
      </c>
    </row>
    <row r="147" spans="1:13" ht="30" customHeight="1" x14ac:dyDescent="0.25">
      <c r="A147" s="10" t="s">
        <v>176</v>
      </c>
      <c r="B147" s="11"/>
      <c r="C147" s="27"/>
      <c r="D147" s="31"/>
      <c r="E147" s="27"/>
      <c r="F147" s="31"/>
      <c r="G147" s="31"/>
      <c r="H147" s="31"/>
      <c r="I147" s="31"/>
      <c r="J147" s="14"/>
      <c r="K147" s="31"/>
      <c r="L147" s="31"/>
      <c r="M147" s="31"/>
    </row>
    <row r="148" spans="1:13" ht="30" customHeight="1" x14ac:dyDescent="0.25">
      <c r="A148" s="10" t="s">
        <v>177</v>
      </c>
      <c r="B148" s="11"/>
      <c r="C148" s="27"/>
      <c r="D148" s="29">
        <v>46558</v>
      </c>
      <c r="E148" s="27"/>
      <c r="F148" s="31"/>
      <c r="G148" s="31"/>
      <c r="H148" s="31"/>
      <c r="I148" s="31"/>
      <c r="J148" s="14"/>
      <c r="K148" s="31"/>
      <c r="L148" s="31"/>
      <c r="M148" s="29">
        <v>46360</v>
      </c>
    </row>
    <row r="149" spans="1:13" ht="30" customHeight="1" x14ac:dyDescent="0.25">
      <c r="A149" s="10" t="s">
        <v>178</v>
      </c>
      <c r="B149" s="11"/>
      <c r="C149" s="27"/>
      <c r="D149" s="31"/>
      <c r="E149" s="27"/>
      <c r="F149" s="31"/>
      <c r="G149" s="31"/>
      <c r="H149" s="31"/>
      <c r="I149" s="31"/>
      <c r="J149" s="14"/>
      <c r="K149" s="31"/>
      <c r="L149" s="31"/>
      <c r="M149" s="31"/>
    </row>
    <row r="150" spans="1:13" ht="30" customHeight="1" x14ac:dyDescent="0.25">
      <c r="A150" s="10" t="s">
        <v>179</v>
      </c>
      <c r="B150" s="11"/>
      <c r="C150" s="27"/>
      <c r="D150" s="31"/>
      <c r="E150" s="27"/>
      <c r="F150" s="31"/>
      <c r="G150" s="31"/>
      <c r="H150" s="31"/>
      <c r="I150" s="31"/>
      <c r="J150" s="14"/>
      <c r="K150" s="31"/>
      <c r="L150" s="31"/>
      <c r="M150" s="31"/>
    </row>
    <row r="151" spans="1:13" ht="30" customHeight="1" x14ac:dyDescent="0.25">
      <c r="A151" s="10" t="s">
        <v>180</v>
      </c>
      <c r="B151" s="11"/>
      <c r="C151" s="27"/>
      <c r="D151" s="31"/>
      <c r="E151" s="27"/>
      <c r="F151" s="31"/>
      <c r="G151" s="31"/>
      <c r="H151" s="31"/>
      <c r="I151" s="31"/>
      <c r="J151" s="14"/>
      <c r="K151" s="31"/>
      <c r="L151" s="31"/>
      <c r="M151" s="31"/>
    </row>
    <row r="152" spans="1:13" ht="30" customHeight="1" x14ac:dyDescent="0.25">
      <c r="A152" s="10" t="s">
        <v>181</v>
      </c>
      <c r="B152" s="11"/>
      <c r="C152" s="27"/>
      <c r="D152" s="31"/>
      <c r="E152" s="27"/>
      <c r="F152" s="31"/>
      <c r="G152" s="31"/>
      <c r="H152" s="31"/>
      <c r="I152" s="31"/>
      <c r="J152" s="14"/>
      <c r="K152" s="31"/>
      <c r="L152" s="31"/>
      <c r="M152" s="31"/>
    </row>
    <row r="153" spans="1:13" ht="30" customHeight="1" x14ac:dyDescent="0.25">
      <c r="A153" s="10" t="s">
        <v>182</v>
      </c>
      <c r="B153" s="11"/>
      <c r="C153" s="27"/>
      <c r="D153" s="29">
        <v>45073</v>
      </c>
      <c r="E153" s="27"/>
      <c r="F153" s="31"/>
      <c r="G153" s="31"/>
      <c r="H153" s="31"/>
      <c r="I153" s="29"/>
      <c r="J153" s="14"/>
      <c r="K153" s="29">
        <v>44713</v>
      </c>
      <c r="L153" s="29"/>
      <c r="M153" s="29">
        <v>45074</v>
      </c>
    </row>
    <row r="154" spans="1:13" ht="30" customHeight="1" x14ac:dyDescent="0.25">
      <c r="A154" s="10" t="s">
        <v>183</v>
      </c>
      <c r="B154" s="11"/>
      <c r="C154" s="27"/>
      <c r="D154" s="31"/>
      <c r="E154" s="27"/>
      <c r="F154" s="31"/>
      <c r="G154" s="31"/>
      <c r="H154" s="31"/>
      <c r="I154" s="31"/>
      <c r="J154" s="14"/>
      <c r="K154" s="31"/>
      <c r="L154" s="31"/>
      <c r="M154" s="31"/>
    </row>
    <row r="155" spans="1:13" ht="30" customHeight="1" x14ac:dyDescent="0.25">
      <c r="A155" s="10" t="s">
        <v>184</v>
      </c>
      <c r="B155" s="11"/>
      <c r="C155" s="27"/>
      <c r="D155" s="32">
        <v>46659</v>
      </c>
      <c r="E155" s="27"/>
      <c r="F155" s="31"/>
      <c r="G155" s="31"/>
      <c r="H155" s="29">
        <v>46357</v>
      </c>
      <c r="I155" s="31"/>
      <c r="J155" s="14"/>
      <c r="K155" s="31"/>
      <c r="L155" s="31"/>
      <c r="M155" s="29">
        <v>46459</v>
      </c>
    </row>
    <row r="156" spans="1:13" ht="30" customHeight="1" x14ac:dyDescent="0.25">
      <c r="A156" s="10" t="s">
        <v>185</v>
      </c>
      <c r="B156" s="11"/>
      <c r="C156" s="27"/>
      <c r="D156" s="31"/>
      <c r="E156" s="27"/>
      <c r="F156" s="31"/>
      <c r="G156" s="31"/>
      <c r="H156" s="31"/>
      <c r="I156" s="31"/>
      <c r="J156" s="14"/>
      <c r="K156" s="31"/>
      <c r="L156" s="31"/>
      <c r="M156" s="31"/>
    </row>
    <row r="157" spans="1:13" ht="30" customHeight="1" x14ac:dyDescent="0.2">
      <c r="A157" s="10" t="s">
        <v>186</v>
      </c>
      <c r="B157" s="30">
        <v>46093</v>
      </c>
      <c r="C157" s="27"/>
      <c r="D157" s="29">
        <v>46089</v>
      </c>
      <c r="E157" s="41">
        <v>46733</v>
      </c>
      <c r="F157" s="29">
        <v>46092</v>
      </c>
      <c r="G157" s="29">
        <v>46094</v>
      </c>
      <c r="H157" s="31"/>
      <c r="I157" s="31"/>
      <c r="J157" s="22">
        <v>46313</v>
      </c>
      <c r="K157" s="31"/>
      <c r="L157" s="31"/>
      <c r="M157" s="29">
        <v>46590</v>
      </c>
    </row>
    <row r="158" spans="1:13" ht="30" customHeight="1" x14ac:dyDescent="0.25">
      <c r="A158" s="10" t="s">
        <v>187</v>
      </c>
      <c r="B158" s="11"/>
      <c r="C158" s="27"/>
      <c r="D158" s="31"/>
      <c r="E158" s="27"/>
      <c r="F158" s="31"/>
      <c r="G158" s="31"/>
      <c r="H158" s="31"/>
      <c r="I158" s="31"/>
      <c r="J158" s="14"/>
      <c r="K158" s="31"/>
      <c r="L158" s="31"/>
      <c r="M158" s="31"/>
    </row>
    <row r="159" spans="1:13" ht="30" customHeight="1" x14ac:dyDescent="0.25">
      <c r="A159" s="10" t="s">
        <v>188</v>
      </c>
      <c r="B159" s="11"/>
      <c r="C159" s="27"/>
      <c r="D159" s="31"/>
      <c r="E159" s="27"/>
      <c r="F159" s="31"/>
      <c r="G159" s="31"/>
      <c r="H159" s="31"/>
      <c r="I159" s="31"/>
      <c r="J159" s="14"/>
      <c r="K159" s="31"/>
      <c r="L159" s="31"/>
      <c r="M159" s="31"/>
    </row>
    <row r="160" spans="1:13" ht="30" customHeight="1" x14ac:dyDescent="0.25">
      <c r="A160" s="10" t="s">
        <v>189</v>
      </c>
      <c r="B160" s="11"/>
      <c r="C160" s="27"/>
      <c r="D160" s="31"/>
      <c r="E160" s="27"/>
      <c r="F160" s="31"/>
      <c r="G160" s="31"/>
      <c r="H160" s="31"/>
      <c r="I160" s="31"/>
      <c r="J160" s="14"/>
      <c r="K160" s="31"/>
      <c r="L160" s="31"/>
      <c r="M160" s="31"/>
    </row>
    <row r="161" spans="1:13" ht="30" customHeight="1" x14ac:dyDescent="0.25">
      <c r="A161" s="10" t="s">
        <v>190</v>
      </c>
      <c r="B161" s="11"/>
      <c r="C161" s="27"/>
      <c r="D161" s="29">
        <v>46184</v>
      </c>
      <c r="E161" s="27"/>
      <c r="F161" s="31"/>
      <c r="G161" s="31"/>
      <c r="H161" s="31"/>
      <c r="I161" s="31"/>
      <c r="J161" s="14"/>
      <c r="K161" s="31"/>
      <c r="L161" s="31"/>
      <c r="M161" s="29">
        <v>46185</v>
      </c>
    </row>
    <row r="162" spans="1:13" ht="30" customHeight="1" x14ac:dyDescent="0.25">
      <c r="A162" s="10" t="s">
        <v>191</v>
      </c>
      <c r="B162" s="11"/>
      <c r="C162" s="27"/>
      <c r="D162" s="31"/>
      <c r="E162" s="27"/>
      <c r="F162" s="31"/>
      <c r="G162" s="31"/>
      <c r="H162" s="31"/>
      <c r="I162" s="31"/>
      <c r="J162" s="14"/>
      <c r="K162" s="31"/>
      <c r="L162" s="31"/>
      <c r="M162" s="31"/>
    </row>
    <row r="163" spans="1:13" ht="30" customHeight="1" x14ac:dyDescent="0.25">
      <c r="A163" s="10" t="s">
        <v>192</v>
      </c>
      <c r="B163" s="30">
        <v>46309</v>
      </c>
      <c r="C163" s="27"/>
      <c r="D163" s="29">
        <v>45978</v>
      </c>
      <c r="E163" s="27"/>
      <c r="F163" s="31"/>
      <c r="G163" s="31"/>
      <c r="H163" s="31"/>
      <c r="I163" s="29"/>
      <c r="J163" s="14"/>
      <c r="K163" s="29">
        <v>45606</v>
      </c>
      <c r="L163" s="29"/>
      <c r="M163" s="29">
        <v>45967</v>
      </c>
    </row>
    <row r="164" spans="1:13" ht="30" customHeight="1" x14ac:dyDescent="0.25">
      <c r="A164" s="10" t="s">
        <v>193</v>
      </c>
      <c r="B164" s="30">
        <v>46645</v>
      </c>
      <c r="C164" s="68">
        <v>46319</v>
      </c>
      <c r="D164" s="22">
        <v>46578</v>
      </c>
      <c r="E164" s="27"/>
      <c r="F164" s="22">
        <v>46586</v>
      </c>
      <c r="G164" s="29">
        <v>46626</v>
      </c>
      <c r="H164" s="22">
        <v>46575</v>
      </c>
      <c r="I164" s="22"/>
      <c r="J164" s="14"/>
      <c r="K164" s="22">
        <v>46212</v>
      </c>
      <c r="L164" s="22"/>
      <c r="M164" s="22">
        <v>46579</v>
      </c>
    </row>
    <row r="165" spans="1:13" ht="30" customHeight="1" x14ac:dyDescent="0.25">
      <c r="A165" s="10" t="s">
        <v>194</v>
      </c>
      <c r="B165" s="11"/>
      <c r="C165" s="27"/>
      <c r="D165" s="31"/>
      <c r="E165" s="27"/>
      <c r="F165" s="31"/>
      <c r="G165" s="31"/>
      <c r="H165" s="31"/>
      <c r="I165" s="31"/>
      <c r="J165" s="14"/>
      <c r="K165" s="31"/>
      <c r="L165" s="31"/>
      <c r="M165" s="31"/>
    </row>
    <row r="166" spans="1:13" ht="30" customHeight="1" x14ac:dyDescent="0.25">
      <c r="A166" s="10" t="s">
        <v>194</v>
      </c>
      <c r="B166" s="11"/>
      <c r="C166" s="27"/>
      <c r="D166" s="31"/>
      <c r="E166" s="27"/>
      <c r="F166" s="31"/>
      <c r="G166" s="31"/>
      <c r="H166" s="31"/>
      <c r="I166" s="31"/>
      <c r="J166" s="14"/>
      <c r="K166" s="31"/>
      <c r="L166" s="31"/>
      <c r="M166" s="31"/>
    </row>
    <row r="167" spans="1:13" ht="30" customHeight="1" x14ac:dyDescent="0.25">
      <c r="A167" s="10" t="s">
        <v>195</v>
      </c>
      <c r="B167" s="30">
        <v>46117</v>
      </c>
      <c r="C167" s="27"/>
      <c r="D167" s="22">
        <v>46619</v>
      </c>
      <c r="E167" s="27"/>
      <c r="F167" s="29">
        <v>46757</v>
      </c>
      <c r="G167" s="31"/>
      <c r="H167" s="31"/>
      <c r="I167" s="74">
        <v>46760</v>
      </c>
      <c r="J167" s="14"/>
      <c r="K167" s="31"/>
      <c r="L167" s="31"/>
      <c r="M167" s="29">
        <v>46614</v>
      </c>
    </row>
    <row r="168" spans="1:13" ht="30" customHeight="1" x14ac:dyDescent="0.25">
      <c r="A168" s="10" t="s">
        <v>196</v>
      </c>
      <c r="B168" s="11"/>
      <c r="C168" s="27"/>
      <c r="D168" s="31"/>
      <c r="E168" s="27"/>
      <c r="F168" s="31"/>
      <c r="G168" s="31"/>
      <c r="H168" s="31"/>
      <c r="I168" s="31"/>
      <c r="J168" s="14"/>
      <c r="K168" s="31"/>
      <c r="L168" s="31"/>
      <c r="M168" s="31"/>
    </row>
    <row r="169" spans="1:13" ht="30" customHeight="1" x14ac:dyDescent="0.25">
      <c r="A169" s="10" t="s">
        <v>197</v>
      </c>
      <c r="B169" s="11"/>
      <c r="C169" s="27"/>
      <c r="D169" s="22">
        <v>46579</v>
      </c>
      <c r="E169" s="27"/>
      <c r="F169" s="31"/>
      <c r="G169" s="31"/>
      <c r="H169" s="22">
        <v>46571</v>
      </c>
      <c r="I169" s="31"/>
      <c r="J169" s="14"/>
      <c r="K169" s="31"/>
      <c r="L169" s="31"/>
      <c r="M169" s="22">
        <v>46577</v>
      </c>
    </row>
    <row r="170" spans="1:13" ht="30" customHeight="1" x14ac:dyDescent="0.25">
      <c r="A170" s="10" t="s">
        <v>198</v>
      </c>
      <c r="B170" s="11"/>
      <c r="C170" s="27"/>
      <c r="D170" s="32">
        <v>45837</v>
      </c>
      <c r="E170" s="27"/>
      <c r="F170" s="29">
        <v>46703</v>
      </c>
      <c r="G170" s="31"/>
      <c r="H170" s="29">
        <v>46698</v>
      </c>
      <c r="I170" s="31"/>
      <c r="J170" s="14"/>
      <c r="K170" s="31"/>
      <c r="L170" s="31"/>
      <c r="M170" s="31"/>
    </row>
    <row r="171" spans="1:13" ht="30" customHeight="1" x14ac:dyDescent="0.25">
      <c r="A171" s="10" t="s">
        <v>199</v>
      </c>
      <c r="B171" s="11"/>
      <c r="C171" s="27"/>
      <c r="D171" s="31"/>
      <c r="E171" s="27"/>
      <c r="F171" s="31"/>
      <c r="G171" s="31"/>
      <c r="H171" s="31"/>
      <c r="I171" s="31"/>
      <c r="J171" s="14"/>
      <c r="K171" s="31"/>
      <c r="L171" s="31"/>
      <c r="M171" s="31"/>
    </row>
    <row r="172" spans="1:13" ht="30" customHeight="1" x14ac:dyDescent="0.25">
      <c r="A172" s="10" t="s">
        <v>200</v>
      </c>
      <c r="B172" s="30">
        <v>46696</v>
      </c>
      <c r="C172" s="27"/>
      <c r="D172" s="29">
        <v>46684</v>
      </c>
      <c r="E172" s="41">
        <v>46691</v>
      </c>
      <c r="F172" s="32">
        <v>46695</v>
      </c>
      <c r="G172" s="32">
        <v>46694</v>
      </c>
      <c r="H172" s="31"/>
      <c r="I172" s="31"/>
      <c r="J172" s="14"/>
      <c r="K172" s="31"/>
      <c r="L172" s="31"/>
      <c r="M172" s="31"/>
    </row>
    <row r="173" spans="1:13" ht="30" customHeight="1" x14ac:dyDescent="0.25">
      <c r="A173" s="10" t="s">
        <v>201</v>
      </c>
      <c r="B173" s="11"/>
      <c r="C173" s="27"/>
      <c r="D173" s="29">
        <v>46718</v>
      </c>
      <c r="E173" s="41">
        <v>46719</v>
      </c>
      <c r="F173" s="32">
        <v>46794</v>
      </c>
      <c r="G173" s="31"/>
      <c r="H173" s="31"/>
      <c r="I173" s="31"/>
      <c r="J173" s="14"/>
      <c r="K173" s="31"/>
      <c r="L173" s="31"/>
      <c r="M173" s="29">
        <v>46722</v>
      </c>
    </row>
    <row r="174" spans="1:13" ht="30" customHeight="1" x14ac:dyDescent="0.25">
      <c r="A174" s="10" t="s">
        <v>202</v>
      </c>
      <c r="B174" s="30">
        <v>46612</v>
      </c>
      <c r="C174" s="27"/>
      <c r="D174" s="29">
        <v>46013</v>
      </c>
      <c r="E174" s="27"/>
      <c r="F174" s="31"/>
      <c r="G174" s="31"/>
      <c r="H174" s="31"/>
      <c r="I174" s="31"/>
      <c r="J174" s="14"/>
      <c r="K174" s="31"/>
      <c r="L174" s="31"/>
      <c r="M174" s="29">
        <v>46017</v>
      </c>
    </row>
    <row r="175" spans="1:13" ht="30" customHeight="1" x14ac:dyDescent="0.25">
      <c r="A175" s="10" t="s">
        <v>203</v>
      </c>
      <c r="B175" s="11"/>
      <c r="C175" s="27"/>
      <c r="D175" s="31"/>
      <c r="E175" s="27"/>
      <c r="F175" s="31"/>
      <c r="G175" s="31"/>
      <c r="H175" s="31"/>
      <c r="I175" s="31"/>
      <c r="J175" s="14"/>
      <c r="K175" s="31"/>
      <c r="L175" s="31"/>
      <c r="M175" s="31"/>
    </row>
    <row r="176" spans="1:13" ht="30" customHeight="1" x14ac:dyDescent="0.25">
      <c r="A176" s="10" t="s">
        <v>204</v>
      </c>
      <c r="B176" s="11"/>
      <c r="C176" s="27"/>
      <c r="D176" s="22">
        <v>46539</v>
      </c>
      <c r="E176" s="27"/>
      <c r="F176" s="31"/>
      <c r="G176" s="31"/>
      <c r="H176" s="31"/>
      <c r="I176" s="31"/>
      <c r="J176" s="14"/>
      <c r="K176" s="31"/>
      <c r="L176" s="31"/>
      <c r="M176" s="31"/>
    </row>
    <row r="177" spans="1:13" ht="30" customHeight="1" x14ac:dyDescent="0.25">
      <c r="A177" s="10" t="s">
        <v>205</v>
      </c>
      <c r="B177" s="11"/>
      <c r="C177" s="27"/>
      <c r="D177" s="31"/>
      <c r="E177" s="27"/>
      <c r="F177" s="31"/>
      <c r="G177" s="31"/>
      <c r="H177" s="31"/>
      <c r="I177" s="31"/>
      <c r="J177" s="14"/>
      <c r="K177" s="31"/>
      <c r="L177" s="31"/>
      <c r="M177" s="31"/>
    </row>
    <row r="178" spans="1:13" ht="30" customHeight="1" x14ac:dyDescent="0.25">
      <c r="A178" s="10" t="s">
        <v>206</v>
      </c>
      <c r="B178" s="11"/>
      <c r="C178" s="27"/>
      <c r="D178" s="31"/>
      <c r="E178" s="27"/>
      <c r="F178" s="31"/>
      <c r="G178" s="31"/>
      <c r="H178" s="31"/>
      <c r="I178" s="31"/>
      <c r="J178" s="14"/>
      <c r="K178" s="31"/>
      <c r="L178" s="31"/>
      <c r="M178" s="31"/>
    </row>
    <row r="179" spans="1:13" ht="30" customHeight="1" x14ac:dyDescent="0.25">
      <c r="A179" s="10" t="s">
        <v>207</v>
      </c>
      <c r="B179" s="11"/>
      <c r="C179" s="27"/>
      <c r="D179" s="31"/>
      <c r="E179" s="27"/>
      <c r="F179" s="31"/>
      <c r="G179" s="31"/>
      <c r="H179" s="31"/>
      <c r="I179" s="31"/>
      <c r="J179" s="14"/>
      <c r="K179" s="31"/>
      <c r="L179" s="31"/>
      <c r="M179" s="31"/>
    </row>
    <row r="180" spans="1:13" ht="30" customHeight="1" x14ac:dyDescent="0.25">
      <c r="A180" s="10" t="s">
        <v>208</v>
      </c>
      <c r="B180" s="11"/>
      <c r="C180" s="27"/>
      <c r="D180" s="31"/>
      <c r="E180" s="27"/>
      <c r="F180" s="31"/>
      <c r="G180" s="31"/>
      <c r="H180" s="31"/>
      <c r="I180" s="31"/>
      <c r="J180" s="14"/>
      <c r="K180" s="31"/>
      <c r="L180" s="31"/>
      <c r="M180" s="31"/>
    </row>
    <row r="181" spans="1:13" ht="30" customHeight="1" x14ac:dyDescent="0.25">
      <c r="A181" s="10" t="s">
        <v>209</v>
      </c>
      <c r="B181" s="11"/>
      <c r="C181" s="27"/>
      <c r="D181" s="31"/>
      <c r="E181" s="27"/>
      <c r="F181" s="31"/>
      <c r="G181" s="31"/>
      <c r="H181" s="31"/>
      <c r="I181" s="31"/>
      <c r="J181" s="14"/>
      <c r="K181" s="31"/>
      <c r="L181" s="31"/>
      <c r="M181" s="31"/>
    </row>
    <row r="182" spans="1:13" ht="30" customHeight="1" x14ac:dyDescent="0.25">
      <c r="A182" s="10" t="s">
        <v>210</v>
      </c>
      <c r="B182" s="11"/>
      <c r="C182" s="27"/>
      <c r="D182" s="31"/>
      <c r="E182" s="27"/>
      <c r="F182" s="31"/>
      <c r="G182" s="31"/>
      <c r="H182" s="31"/>
      <c r="I182" s="31"/>
      <c r="J182" s="14"/>
      <c r="K182" s="31"/>
      <c r="L182" s="31"/>
      <c r="M182" s="31"/>
    </row>
    <row r="183" spans="1:13" ht="30" customHeight="1" x14ac:dyDescent="0.25">
      <c r="A183" s="10" t="s">
        <v>211</v>
      </c>
      <c r="B183" s="11"/>
      <c r="C183" s="27"/>
      <c r="D183" s="31"/>
      <c r="E183" s="27"/>
      <c r="F183" s="31"/>
      <c r="G183" s="31"/>
      <c r="H183" s="31"/>
      <c r="I183" s="31"/>
      <c r="J183" s="14"/>
      <c r="K183" s="31"/>
      <c r="L183" s="31"/>
      <c r="M183" s="31"/>
    </row>
    <row r="184" spans="1:13" ht="30" customHeight="1" x14ac:dyDescent="0.25">
      <c r="A184" s="10" t="s">
        <v>212</v>
      </c>
      <c r="B184" s="11"/>
      <c r="C184" s="27"/>
      <c r="D184" s="31"/>
      <c r="E184" s="27"/>
      <c r="F184" s="31"/>
      <c r="G184" s="31"/>
      <c r="H184" s="31"/>
      <c r="I184" s="31"/>
      <c r="J184" s="14"/>
      <c r="K184" s="31"/>
      <c r="L184" s="31"/>
      <c r="M184" s="31"/>
    </row>
    <row r="185" spans="1:13" s="58" customFormat="1" ht="30" customHeight="1" x14ac:dyDescent="0.25">
      <c r="A185" s="26" t="s">
        <v>213</v>
      </c>
      <c r="B185" s="24"/>
      <c r="C185" s="55"/>
      <c r="D185" s="75">
        <v>46719</v>
      </c>
      <c r="E185" s="55"/>
      <c r="F185" s="51"/>
      <c r="G185" s="57">
        <v>46705</v>
      </c>
      <c r="H185" s="51"/>
      <c r="I185" s="51"/>
      <c r="J185" s="56"/>
      <c r="K185" s="51"/>
      <c r="L185" s="51"/>
      <c r="M185" s="57">
        <v>46704</v>
      </c>
    </row>
    <row r="186" spans="1:13" s="58" customFormat="1" ht="30" customHeight="1" x14ac:dyDescent="0.25">
      <c r="A186" s="59" t="s">
        <v>214</v>
      </c>
      <c r="B186" s="60"/>
      <c r="C186" s="61"/>
      <c r="D186" s="62"/>
      <c r="E186" s="61"/>
      <c r="F186" s="62"/>
      <c r="G186" s="62"/>
      <c r="H186" s="62"/>
      <c r="I186" s="62"/>
      <c r="J186" s="63"/>
      <c r="K186" s="62"/>
      <c r="L186" s="62"/>
      <c r="M186" s="62"/>
    </row>
    <row r="187" spans="1:13" ht="15" customHeight="1" x14ac:dyDescent="0.2">
      <c r="E187" s="43"/>
    </row>
  </sheetData>
  <autoFilter ref="A1:M186" xr:uid="{00000000-0001-0000-0000-000000000000}"/>
  <conditionalFormatting sqref="B8 B16 B36 B61 B78 B81:B85 B87 B94 B96 B111 B122 B127 B157 B163:B164 B167 B174">
    <cfRule type="cellIs" dxfId="12" priority="142" stopIfTrue="1" operator="equal">
      <formula>"30/12/1899"</formula>
    </cfRule>
  </conditionalFormatting>
  <conditionalFormatting sqref="B172">
    <cfRule type="cellIs" dxfId="11" priority="79" stopIfTrue="1" operator="equal">
      <formula>"30/12/1899"</formula>
    </cfRule>
  </conditionalFormatting>
  <conditionalFormatting sqref="J2:J186">
    <cfRule type="cellIs" dxfId="10" priority="96" operator="equal">
      <formula>"APTO"</formula>
    </cfRule>
    <cfRule type="cellIs" dxfId="9" priority="97" operator="equal">
      <formula>"RENOVAR"</formula>
    </cfRule>
    <cfRule type="cellIs" dxfId="8" priority="98" operator="equal">
      <formula>"VENCIDO"</formula>
    </cfRule>
  </conditionalFormatting>
  <printOptions horizontalCentered="1" gridLines="1"/>
  <pageMargins left="0.7" right="0.7" top="0.75" bottom="0.75" header="0" footer="0"/>
  <pageSetup paperSize="9" scale="28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M13"/>
  <sheetViews>
    <sheetView zoomScale="70" zoomScaleNormal="70" workbookViewId="0">
      <pane xSplit="2" ySplit="6" topLeftCell="J7" activePane="bottomRight" state="frozen"/>
      <selection pane="topRight" activeCell="C1" sqref="C1"/>
      <selection pane="bottomLeft" activeCell="A7" sqref="A7"/>
      <selection pane="bottomRight" activeCell="C9" sqref="C9"/>
    </sheetView>
  </sheetViews>
  <sheetFormatPr defaultColWidth="12.5703125" defaultRowHeight="15" customHeight="1" x14ac:dyDescent="0.2"/>
  <cols>
    <col min="1" max="1" width="13" customWidth="1"/>
    <col min="2" max="2" width="34.85546875" customWidth="1"/>
    <col min="3" max="3" width="11.5703125" customWidth="1"/>
    <col min="4" max="4" width="10.42578125" customWidth="1"/>
    <col min="5" max="5" width="7.5703125" customWidth="1"/>
    <col min="6" max="6" width="12.28515625" customWidth="1"/>
    <col min="7" max="7" width="10.42578125" customWidth="1"/>
    <col min="8" max="8" width="8.85546875" customWidth="1"/>
    <col min="9" max="9" width="9.28515625" customWidth="1"/>
    <col min="10" max="10" width="8.5703125" customWidth="1"/>
    <col min="11" max="11" width="11" customWidth="1"/>
    <col min="12" max="12" width="11.7109375" customWidth="1"/>
    <col min="13" max="13" width="11.5703125" customWidth="1"/>
    <col min="14" max="14" width="8.42578125" customWidth="1"/>
    <col min="15" max="15" width="12.140625" customWidth="1"/>
    <col min="16" max="16" width="9.85546875" customWidth="1"/>
    <col min="17" max="17" width="8.42578125" customWidth="1"/>
    <col min="18" max="19" width="12.140625" customWidth="1"/>
    <col min="20" max="20" width="8.42578125" customWidth="1"/>
    <col min="21" max="21" width="9.85546875" customWidth="1"/>
    <col min="22" max="22" width="7.5703125" customWidth="1"/>
    <col min="23" max="23" width="9.7109375" customWidth="1"/>
    <col min="24" max="26" width="12.140625" customWidth="1"/>
    <col min="27" max="33" width="12.28515625" customWidth="1"/>
    <col min="34" max="34" width="8" customWidth="1"/>
    <col min="35" max="35" width="8.42578125" customWidth="1"/>
    <col min="36" max="36" width="10.5703125" customWidth="1"/>
    <col min="37" max="37" width="14.5703125" customWidth="1"/>
    <col min="38" max="39" width="8.5703125" customWidth="1"/>
  </cols>
  <sheetData>
    <row r="1" spans="1:39" ht="39.75" hidden="1" customHeight="1" x14ac:dyDescent="0.2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15" customHeight="1" x14ac:dyDescent="0.25">
      <c r="A2" s="4" t="s">
        <v>0</v>
      </c>
      <c r="B2" s="91">
        <f ca="1">TODAY()</f>
        <v>46114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8.25" customHeight="1" x14ac:dyDescent="0.2">
      <c r="A3" s="5"/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.75" customHeight="1" x14ac:dyDescent="0.2">
      <c r="A4" s="97" t="s">
        <v>1</v>
      </c>
      <c r="B4" s="100" t="s">
        <v>2</v>
      </c>
      <c r="C4" s="7"/>
      <c r="D4" s="92"/>
      <c r="E4" s="92"/>
      <c r="F4" s="103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</row>
    <row r="5" spans="1:39" ht="84.75" customHeight="1" x14ac:dyDescent="0.2">
      <c r="A5" s="98"/>
      <c r="B5" s="101"/>
      <c r="C5" s="104" t="s">
        <v>215</v>
      </c>
      <c r="D5" s="95"/>
      <c r="E5" s="96"/>
      <c r="F5" s="104" t="s">
        <v>216</v>
      </c>
      <c r="G5" s="95"/>
      <c r="H5" s="96"/>
      <c r="I5" s="104" t="s">
        <v>217</v>
      </c>
      <c r="J5" s="95"/>
      <c r="K5" s="96"/>
      <c r="L5" s="94" t="s">
        <v>3</v>
      </c>
      <c r="M5" s="95"/>
      <c r="N5" s="95"/>
      <c r="O5" s="95"/>
      <c r="P5" s="95"/>
      <c r="Q5" s="96"/>
      <c r="R5" s="104" t="s">
        <v>218</v>
      </c>
      <c r="S5" s="95"/>
      <c r="T5" s="96"/>
      <c r="U5" s="104" t="s">
        <v>219</v>
      </c>
      <c r="V5" s="95"/>
      <c r="W5" s="96"/>
      <c r="X5" s="104" t="s">
        <v>220</v>
      </c>
      <c r="Y5" s="95"/>
      <c r="Z5" s="96"/>
      <c r="AA5" s="94" t="s">
        <v>4</v>
      </c>
      <c r="AB5" s="95"/>
      <c r="AC5" s="96"/>
      <c r="AD5" s="94" t="s">
        <v>221</v>
      </c>
      <c r="AE5" s="95"/>
      <c r="AF5" s="96"/>
      <c r="AG5" s="94" t="s">
        <v>5</v>
      </c>
      <c r="AH5" s="95"/>
      <c r="AI5" s="95"/>
      <c r="AJ5" s="96"/>
      <c r="AK5" s="104" t="s">
        <v>6</v>
      </c>
      <c r="AL5" s="95"/>
      <c r="AM5" s="96"/>
    </row>
    <row r="6" spans="1:39" ht="52.5" customHeight="1" x14ac:dyDescent="0.2">
      <c r="A6" s="99"/>
      <c r="B6" s="102"/>
      <c r="C6" s="8" t="s">
        <v>7</v>
      </c>
      <c r="D6" s="8" t="s">
        <v>8</v>
      </c>
      <c r="E6" s="8" t="s">
        <v>9</v>
      </c>
      <c r="F6" s="9" t="s">
        <v>10</v>
      </c>
      <c r="G6" s="8" t="s">
        <v>11</v>
      </c>
      <c r="H6" s="8" t="s">
        <v>9</v>
      </c>
      <c r="I6" s="8" t="s">
        <v>222</v>
      </c>
      <c r="J6" s="8" t="s">
        <v>223</v>
      </c>
      <c r="K6" s="8" t="s">
        <v>9</v>
      </c>
      <c r="L6" s="8" t="s">
        <v>13</v>
      </c>
      <c r="M6" s="8" t="s">
        <v>14</v>
      </c>
      <c r="N6" s="8" t="s">
        <v>9</v>
      </c>
      <c r="O6" s="8" t="s">
        <v>15</v>
      </c>
      <c r="P6" s="8" t="s">
        <v>16</v>
      </c>
      <c r="Q6" s="8" t="s">
        <v>9</v>
      </c>
      <c r="R6" s="8" t="s">
        <v>17</v>
      </c>
      <c r="S6" s="8" t="s">
        <v>18</v>
      </c>
      <c r="T6" s="8" t="s">
        <v>9</v>
      </c>
      <c r="U6" s="8" t="s">
        <v>19</v>
      </c>
      <c r="V6" s="8" t="s">
        <v>20</v>
      </c>
      <c r="W6" s="8" t="s">
        <v>9</v>
      </c>
      <c r="X6" s="8" t="s">
        <v>21</v>
      </c>
      <c r="Y6" s="8" t="s">
        <v>22</v>
      </c>
      <c r="Z6" s="8" t="s">
        <v>9</v>
      </c>
      <c r="AA6" s="8" t="s">
        <v>23</v>
      </c>
      <c r="AB6" s="8" t="s">
        <v>24</v>
      </c>
      <c r="AC6" s="8" t="s">
        <v>9</v>
      </c>
      <c r="AD6" s="8" t="s">
        <v>25</v>
      </c>
      <c r="AE6" s="8" t="s">
        <v>26</v>
      </c>
      <c r="AF6" s="8" t="s">
        <v>9</v>
      </c>
      <c r="AG6" s="8" t="s">
        <v>27</v>
      </c>
      <c r="AH6" s="8" t="s">
        <v>28</v>
      </c>
      <c r="AI6" s="8" t="s">
        <v>9</v>
      </c>
      <c r="AJ6" s="8" t="s">
        <v>29</v>
      </c>
      <c r="AK6" s="8" t="s">
        <v>31</v>
      </c>
      <c r="AL6" s="8" t="s">
        <v>32</v>
      </c>
      <c r="AM6" s="8" t="s">
        <v>9</v>
      </c>
    </row>
    <row r="7" spans="1:39" ht="39.75" customHeight="1" x14ac:dyDescent="0.25">
      <c r="A7" s="33">
        <v>1</v>
      </c>
      <c r="B7" s="90" t="s">
        <v>224</v>
      </c>
      <c r="C7" s="27"/>
      <c r="D7" s="27"/>
      <c r="E7" s="50"/>
      <c r="F7" s="12"/>
      <c r="G7" s="13"/>
      <c r="H7" s="14"/>
      <c r="I7" s="27"/>
      <c r="J7" s="27"/>
      <c r="K7" s="27"/>
      <c r="L7" s="12">
        <v>46124</v>
      </c>
      <c r="M7" s="13">
        <f t="shared" ref="M7:M13" ca="1" si="0">IF(L7="","",L7-$B$2)</f>
        <v>10</v>
      </c>
      <c r="N7" s="14" t="str">
        <f t="shared" ref="N7:N13" ca="1" si="1">IF(M7="","",IF(M7&lt;0,"VENCIDO",IF(M7&lt;60,"RENOVAR","APTO")))</f>
        <v>RENOVAR</v>
      </c>
      <c r="O7" s="27"/>
      <c r="P7" s="27"/>
      <c r="Q7" s="27"/>
      <c r="R7" s="17"/>
      <c r="S7" s="13"/>
      <c r="T7" s="14"/>
      <c r="U7" s="22">
        <v>46705</v>
      </c>
      <c r="V7" s="13">
        <f t="shared" ref="V7:V13" ca="1" si="2">IF(U7="","",U7-$B$2)</f>
        <v>591</v>
      </c>
      <c r="W7" s="67" t="str">
        <f ca="1">IF(V7="","",IF(V7&lt;0,"VENCIDO",IF(V7&lt;60,"RENOVAR","APTO")))</f>
        <v>APTO</v>
      </c>
      <c r="X7" s="22">
        <v>46698</v>
      </c>
      <c r="Y7" s="13">
        <f t="shared" ref="Y7:Y13" ca="1" si="3">IF(X7="","",X7-$B$2)</f>
        <v>584</v>
      </c>
      <c r="Z7" s="14" t="str">
        <f t="shared" ref="Z7:Z13" ca="1" si="4">IF(Y7="","",IF(Y7&lt;0,"VENCIDO",IF(Y7&lt;60,"RENOVAR","APTO")))</f>
        <v>APTO</v>
      </c>
      <c r="AA7" s="17"/>
      <c r="AB7" s="13"/>
      <c r="AC7" s="14"/>
      <c r="AD7" s="14"/>
      <c r="AE7" s="13"/>
      <c r="AF7" s="14"/>
      <c r="AG7" s="34"/>
      <c r="AH7" s="13" t="str">
        <f t="shared" ref="AH7:AH13" si="5">IF(AG7="","",AG7-$B$2)</f>
        <v/>
      </c>
      <c r="AI7" s="14" t="str">
        <f t="shared" ref="AI7:AI13" si="6">IF(AH7="","",IF(AH7&lt;0,"VENCIDO",IF(AH7&lt;60,"RENOVAR","APTO")))</f>
        <v/>
      </c>
      <c r="AJ7" s="27"/>
      <c r="AK7" s="22">
        <v>46704</v>
      </c>
      <c r="AL7" s="13">
        <f t="shared" ref="AL7:AL13" ca="1" si="7">IF(AK7="","",AK7-$B$2)</f>
        <v>590</v>
      </c>
      <c r="AM7" s="14" t="str">
        <f t="shared" ref="AM7:AM13" ca="1" si="8">IF(AL7="","",IF(AL7&lt;0,"VENCIDO",IF(AL7&lt;60,"RENOVAR","APTO")))</f>
        <v>APTO</v>
      </c>
    </row>
    <row r="8" spans="1:39" ht="29.25" customHeight="1" x14ac:dyDescent="0.25">
      <c r="A8" s="33">
        <v>2</v>
      </c>
      <c r="B8" s="35" t="s">
        <v>58</v>
      </c>
      <c r="C8" s="27"/>
      <c r="D8" s="27"/>
      <c r="E8" s="50"/>
      <c r="F8" s="30"/>
      <c r="G8" s="13"/>
      <c r="H8" s="14"/>
      <c r="I8" s="27"/>
      <c r="J8" s="27"/>
      <c r="K8" s="27"/>
      <c r="L8" s="30"/>
      <c r="M8" s="13" t="str">
        <f t="shared" si="0"/>
        <v/>
      </c>
      <c r="N8" s="14" t="str">
        <f t="shared" si="1"/>
        <v/>
      </c>
      <c r="O8" s="27"/>
      <c r="P8" s="27"/>
      <c r="Q8" s="27"/>
      <c r="R8" s="17"/>
      <c r="S8" s="13"/>
      <c r="T8" s="14"/>
      <c r="U8" s="31"/>
      <c r="V8" s="13" t="str">
        <f t="shared" si="2"/>
        <v/>
      </c>
      <c r="W8" s="14" t="str">
        <f t="shared" ref="W8:W13" si="9">IF(V8="","",IF(V8&lt;0,"VENCIDO",IF(V8&lt;60,"RENOVAR","APTO")))</f>
        <v/>
      </c>
      <c r="X8" s="31"/>
      <c r="Y8" s="13" t="str">
        <f t="shared" si="3"/>
        <v/>
      </c>
      <c r="Z8" s="14" t="str">
        <f t="shared" si="4"/>
        <v/>
      </c>
      <c r="AA8" s="17"/>
      <c r="AB8" s="13"/>
      <c r="AC8" s="14"/>
      <c r="AD8" s="14"/>
      <c r="AE8" s="13"/>
      <c r="AF8" s="14"/>
      <c r="AG8" s="34"/>
      <c r="AH8" s="13" t="str">
        <f t="shared" si="5"/>
        <v/>
      </c>
      <c r="AI8" s="14" t="str">
        <f t="shared" si="6"/>
        <v/>
      </c>
      <c r="AJ8" s="27"/>
      <c r="AK8" s="34"/>
      <c r="AL8" s="13" t="str">
        <f t="shared" si="7"/>
        <v/>
      </c>
      <c r="AM8" s="14" t="str">
        <f t="shared" si="8"/>
        <v/>
      </c>
    </row>
    <row r="9" spans="1:39" ht="34.5" customHeight="1" x14ac:dyDescent="0.25">
      <c r="A9" s="33">
        <v>3</v>
      </c>
      <c r="B9" s="36" t="s">
        <v>225</v>
      </c>
      <c r="C9" s="27"/>
      <c r="D9" s="27"/>
      <c r="E9" s="27"/>
      <c r="F9" s="12"/>
      <c r="G9" s="13"/>
      <c r="H9" s="14"/>
      <c r="I9" s="27"/>
      <c r="J9" s="27"/>
      <c r="K9" s="27"/>
      <c r="L9" s="12">
        <v>45698</v>
      </c>
      <c r="M9" s="13">
        <f t="shared" ca="1" si="0"/>
        <v>-416</v>
      </c>
      <c r="N9" s="14" t="str">
        <f t="shared" ca="1" si="1"/>
        <v>VENCIDO</v>
      </c>
      <c r="O9" s="27"/>
      <c r="P9" s="27"/>
      <c r="Q9" s="27"/>
      <c r="R9" s="17"/>
      <c r="S9" s="18"/>
      <c r="T9" s="14"/>
      <c r="U9" s="31"/>
      <c r="V9" s="13" t="str">
        <f t="shared" si="2"/>
        <v/>
      </c>
      <c r="W9" s="14" t="str">
        <f t="shared" si="9"/>
        <v/>
      </c>
      <c r="X9" s="22">
        <v>45885</v>
      </c>
      <c r="Y9" s="13">
        <f t="shared" ca="1" si="3"/>
        <v>-229</v>
      </c>
      <c r="Z9" s="14" t="str">
        <f t="shared" ca="1" si="4"/>
        <v>VENCIDO</v>
      </c>
      <c r="AA9" s="17"/>
      <c r="AB9" s="18"/>
      <c r="AC9" s="14"/>
      <c r="AD9" s="14"/>
      <c r="AE9" s="18"/>
      <c r="AF9" s="14"/>
      <c r="AG9" s="22">
        <v>45954</v>
      </c>
      <c r="AH9" s="13">
        <f t="shared" ca="1" si="5"/>
        <v>-160</v>
      </c>
      <c r="AI9" s="14" t="str">
        <f t="shared" ca="1" si="6"/>
        <v>VENCIDO</v>
      </c>
      <c r="AJ9" s="27"/>
      <c r="AK9" s="22">
        <v>45929</v>
      </c>
      <c r="AL9" s="13">
        <f t="shared" ca="1" si="7"/>
        <v>-185</v>
      </c>
      <c r="AM9" s="14" t="str">
        <f t="shared" ca="1" si="8"/>
        <v>VENCIDO</v>
      </c>
    </row>
    <row r="10" spans="1:39" ht="29.25" customHeight="1" x14ac:dyDescent="0.25">
      <c r="A10" s="33">
        <v>4</v>
      </c>
      <c r="B10" s="37" t="s">
        <v>226</v>
      </c>
      <c r="C10" s="27"/>
      <c r="D10" s="27"/>
      <c r="E10" s="27"/>
      <c r="F10" s="30"/>
      <c r="G10" s="13"/>
      <c r="H10" s="14"/>
      <c r="I10" s="27"/>
      <c r="J10" s="27"/>
      <c r="K10" s="27"/>
      <c r="L10" s="30"/>
      <c r="M10" s="13" t="str">
        <f t="shared" si="0"/>
        <v/>
      </c>
      <c r="N10" s="14" t="str">
        <f t="shared" si="1"/>
        <v/>
      </c>
      <c r="O10" s="27"/>
      <c r="P10" s="27"/>
      <c r="Q10" s="27"/>
      <c r="R10" s="17"/>
      <c r="S10" s="18"/>
      <c r="T10" s="14"/>
      <c r="U10" s="31"/>
      <c r="V10" s="13" t="str">
        <f t="shared" si="2"/>
        <v/>
      </c>
      <c r="W10" s="14" t="str">
        <f t="shared" si="9"/>
        <v/>
      </c>
      <c r="X10" s="22">
        <v>45776</v>
      </c>
      <c r="Y10" s="13">
        <f t="shared" ca="1" si="3"/>
        <v>-338</v>
      </c>
      <c r="Z10" s="14" t="str">
        <f t="shared" ca="1" si="4"/>
        <v>VENCIDO</v>
      </c>
      <c r="AA10" s="17"/>
      <c r="AB10" s="18"/>
      <c r="AC10" s="14"/>
      <c r="AD10" s="14"/>
      <c r="AE10" s="18"/>
      <c r="AF10" s="14"/>
      <c r="AG10" s="34"/>
      <c r="AH10" s="13" t="str">
        <f t="shared" si="5"/>
        <v/>
      </c>
      <c r="AI10" s="14" t="str">
        <f t="shared" si="6"/>
        <v/>
      </c>
      <c r="AJ10" s="27"/>
      <c r="AK10" s="34"/>
      <c r="AL10" s="13" t="str">
        <f t="shared" si="7"/>
        <v/>
      </c>
      <c r="AM10" s="14" t="str">
        <f t="shared" si="8"/>
        <v/>
      </c>
    </row>
    <row r="11" spans="1:39" ht="27" customHeight="1" x14ac:dyDescent="0.25">
      <c r="A11" s="33">
        <v>5</v>
      </c>
      <c r="B11" s="70" t="s">
        <v>227</v>
      </c>
      <c r="C11" s="27"/>
      <c r="D11" s="27"/>
      <c r="E11" s="27"/>
      <c r="F11" s="12"/>
      <c r="G11" s="13"/>
      <c r="H11" s="14"/>
      <c r="I11" s="27"/>
      <c r="J11" s="27"/>
      <c r="K11" s="27"/>
      <c r="L11" s="12">
        <v>44717</v>
      </c>
      <c r="M11" s="13">
        <f t="shared" ca="1" si="0"/>
        <v>-1397</v>
      </c>
      <c r="N11" s="14" t="str">
        <f t="shared" ca="1" si="1"/>
        <v>VENCIDO</v>
      </c>
      <c r="O11" s="27"/>
      <c r="P11" s="27"/>
      <c r="Q11" s="27"/>
      <c r="R11" s="17"/>
      <c r="S11" s="18"/>
      <c r="T11" s="14"/>
      <c r="U11" s="31"/>
      <c r="V11" s="13" t="str">
        <f t="shared" si="2"/>
        <v/>
      </c>
      <c r="W11" s="14" t="str">
        <f t="shared" si="9"/>
        <v/>
      </c>
      <c r="X11" s="31"/>
      <c r="Y11" s="13" t="str">
        <f t="shared" si="3"/>
        <v/>
      </c>
      <c r="Z11" s="14" t="str">
        <f t="shared" si="4"/>
        <v/>
      </c>
      <c r="AA11" s="17"/>
      <c r="AB11" s="18"/>
      <c r="AC11" s="14"/>
      <c r="AD11" s="14"/>
      <c r="AE11" s="18"/>
      <c r="AF11" s="14"/>
      <c r="AG11" s="22">
        <v>44874</v>
      </c>
      <c r="AH11" s="13">
        <f t="shared" ca="1" si="5"/>
        <v>-1240</v>
      </c>
      <c r="AI11" s="14" t="str">
        <f t="shared" ca="1" si="6"/>
        <v>VENCIDO</v>
      </c>
      <c r="AJ11" s="27"/>
      <c r="AK11" s="22">
        <v>44821</v>
      </c>
      <c r="AL11" s="13">
        <f t="shared" ca="1" si="7"/>
        <v>-1293</v>
      </c>
      <c r="AM11" s="14" t="str">
        <f t="shared" ca="1" si="8"/>
        <v>VENCIDO</v>
      </c>
    </row>
    <row r="12" spans="1:39" ht="23.25" customHeight="1" x14ac:dyDescent="0.25">
      <c r="A12" s="33">
        <v>6</v>
      </c>
      <c r="B12" s="36" t="s">
        <v>228</v>
      </c>
      <c r="C12" s="27"/>
      <c r="D12" s="27"/>
      <c r="E12" s="27"/>
      <c r="F12" s="12"/>
      <c r="G12" s="13"/>
      <c r="H12" s="14"/>
      <c r="I12" s="27"/>
      <c r="J12" s="27"/>
      <c r="K12" s="27"/>
      <c r="L12" s="12"/>
      <c r="M12" s="13" t="str">
        <f t="shared" si="0"/>
        <v/>
      </c>
      <c r="N12" s="14" t="str">
        <f t="shared" si="1"/>
        <v/>
      </c>
      <c r="O12" s="27"/>
      <c r="P12" s="27"/>
      <c r="Q12" s="27"/>
      <c r="R12" s="17"/>
      <c r="S12" s="18"/>
      <c r="T12" s="14"/>
      <c r="U12" s="31"/>
      <c r="V12" s="13" t="str">
        <f t="shared" si="2"/>
        <v/>
      </c>
      <c r="W12" s="14" t="str">
        <f t="shared" si="9"/>
        <v/>
      </c>
      <c r="X12" s="31"/>
      <c r="Y12" s="13" t="str">
        <f t="shared" si="3"/>
        <v/>
      </c>
      <c r="Z12" s="14" t="str">
        <f t="shared" si="4"/>
        <v/>
      </c>
      <c r="AA12" s="17"/>
      <c r="AB12" s="18"/>
      <c r="AC12" s="14"/>
      <c r="AD12" s="14"/>
      <c r="AE12" s="18"/>
      <c r="AF12" s="14"/>
      <c r="AG12" s="34"/>
      <c r="AH12" s="13" t="str">
        <f t="shared" si="5"/>
        <v/>
      </c>
      <c r="AI12" s="14" t="str">
        <f t="shared" si="6"/>
        <v/>
      </c>
      <c r="AJ12" s="27"/>
      <c r="AK12" s="17"/>
      <c r="AL12" s="13" t="str">
        <f t="shared" si="7"/>
        <v/>
      </c>
      <c r="AM12" s="14" t="str">
        <f t="shared" si="8"/>
        <v/>
      </c>
    </row>
    <row r="13" spans="1:39" ht="25.5" customHeight="1" x14ac:dyDescent="0.25">
      <c r="A13" s="33">
        <v>7</v>
      </c>
      <c r="B13" s="36" t="s">
        <v>229</v>
      </c>
      <c r="C13" s="27"/>
      <c r="D13" s="27"/>
      <c r="E13" s="27"/>
      <c r="F13" s="12"/>
      <c r="G13" s="13"/>
      <c r="H13" s="14"/>
      <c r="I13" s="27"/>
      <c r="J13" s="27"/>
      <c r="K13" s="27"/>
      <c r="L13" s="12">
        <v>46703</v>
      </c>
      <c r="M13" s="13">
        <f t="shared" ca="1" si="0"/>
        <v>589</v>
      </c>
      <c r="N13" s="14" t="str">
        <f t="shared" ca="1" si="1"/>
        <v>APTO</v>
      </c>
      <c r="O13" s="27"/>
      <c r="P13" s="27"/>
      <c r="Q13" s="27"/>
      <c r="R13" s="17"/>
      <c r="S13" s="18"/>
      <c r="T13" s="14"/>
      <c r="U13" s="22">
        <v>46256</v>
      </c>
      <c r="V13" s="13">
        <f t="shared" ca="1" si="2"/>
        <v>142</v>
      </c>
      <c r="W13" s="14" t="str">
        <f t="shared" ca="1" si="9"/>
        <v>APTO</v>
      </c>
      <c r="X13" s="22">
        <v>46357</v>
      </c>
      <c r="Y13" s="13">
        <f t="shared" ca="1" si="3"/>
        <v>243</v>
      </c>
      <c r="Z13" s="14" t="str">
        <f t="shared" ca="1" si="4"/>
        <v>APTO</v>
      </c>
      <c r="AA13" s="17"/>
      <c r="AB13" s="18"/>
      <c r="AC13" s="14"/>
      <c r="AD13" s="14"/>
      <c r="AE13" s="18"/>
      <c r="AF13" s="14"/>
      <c r="AG13" s="34"/>
      <c r="AH13" s="13" t="str">
        <f t="shared" si="5"/>
        <v/>
      </c>
      <c r="AI13" s="14" t="str">
        <f t="shared" si="6"/>
        <v/>
      </c>
      <c r="AJ13" s="27"/>
      <c r="AK13" s="15">
        <v>46704</v>
      </c>
      <c r="AL13" s="13">
        <f t="shared" ca="1" si="7"/>
        <v>590</v>
      </c>
      <c r="AM13" s="14" t="str">
        <f t="shared" ca="1" si="8"/>
        <v>APTO</v>
      </c>
    </row>
  </sheetData>
  <autoFilter ref="A6:AM13" xr:uid="{00000000-0001-0000-0100-000000000000}"/>
  <mergeCells count="14">
    <mergeCell ref="AG5:AJ5"/>
    <mergeCell ref="A4:A6"/>
    <mergeCell ref="B4:B6"/>
    <mergeCell ref="F4:AM4"/>
    <mergeCell ref="C5:E5"/>
    <mergeCell ref="F5:H5"/>
    <mergeCell ref="I5:K5"/>
    <mergeCell ref="L5:Q5"/>
    <mergeCell ref="AK5:AM5"/>
    <mergeCell ref="R5:T5"/>
    <mergeCell ref="U5:W5"/>
    <mergeCell ref="X5:Z5"/>
    <mergeCell ref="AA5:AC5"/>
    <mergeCell ref="AD5:AF5"/>
  </mergeCells>
  <conditionalFormatting sqref="F7:F13 L7:L13">
    <cfRule type="cellIs" dxfId="7" priority="5" stopIfTrue="1" operator="equal">
      <formula>"30/12/1899"</formula>
    </cfRule>
  </conditionalFormatting>
  <conditionalFormatting sqref="H7:H13 N7:N13">
    <cfRule type="cellIs" dxfId="6" priority="6" operator="equal">
      <formula>"APTO"</formula>
    </cfRule>
    <cfRule type="cellIs" dxfId="5" priority="7" operator="equal">
      <formula>"RENOVAR"</formula>
    </cfRule>
    <cfRule type="cellIs" dxfId="4" priority="8" operator="equal">
      <formula>"VENCIDO"</formula>
    </cfRule>
  </conditionalFormatting>
  <conditionalFormatting sqref="S2">
    <cfRule type="notContainsBlanks" dxfId="3" priority="1">
      <formula>LEN(TRIM(S2))&gt;0</formula>
    </cfRule>
  </conditionalFormatting>
  <conditionalFormatting sqref="T7:T13 W7:W13 Z7:Z13 AC7:AD13 AF7:AF13 AI7:AI13 AM7:AM13">
    <cfRule type="cellIs" dxfId="2" priority="2" operator="equal">
      <formula>"APTO"</formula>
    </cfRule>
    <cfRule type="cellIs" dxfId="1" priority="3" operator="equal">
      <formula>"RENOVAR"</formula>
    </cfRule>
    <cfRule type="cellIs" dxfId="0" priority="4" operator="equal">
      <formula>"VENCIDO"</formula>
    </cfRule>
  </conditionalFormatting>
  <printOptions horizontalCentered="1" gridLines="1"/>
  <pageMargins left="0.7" right="0.7" top="0.75" bottom="0.75" header="0" footer="0"/>
  <pageSetup paperSize="9" scale="43" fitToHeight="0" pageOrder="overThenDown" orientation="landscape" cellComments="atEnd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773401-87c3-4276-b240-ab7c04fc7738">
      <Terms xmlns="http://schemas.microsoft.com/office/infopath/2007/PartnerControls"/>
    </lcf76f155ced4ddcb4097134ff3c332f>
    <TaxCatchAll xmlns="31176641-b503-4bae-9034-b86057230d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E0F048E5C01D4EA104B4B66C4E1E76" ma:contentTypeVersion="13" ma:contentTypeDescription="Crie um novo documento." ma:contentTypeScope="" ma:versionID="9506ff58a46b4bd4490650aa209ddfac">
  <xsd:schema xmlns:xsd="http://www.w3.org/2001/XMLSchema" xmlns:xs="http://www.w3.org/2001/XMLSchema" xmlns:p="http://schemas.microsoft.com/office/2006/metadata/properties" xmlns:ns2="06773401-87c3-4276-b240-ab7c04fc7738" xmlns:ns3="31176641-b503-4bae-9034-b86057230ddd" targetNamespace="http://schemas.microsoft.com/office/2006/metadata/properties" ma:root="true" ma:fieldsID="930878da2d809e9761e4a3d713a9b505" ns2:_="" ns3:_="">
    <xsd:import namespace="06773401-87c3-4276-b240-ab7c04fc7738"/>
    <xsd:import namespace="31176641-b503-4bae-9034-b86057230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773401-87c3-4276-b240-ab7c04fc7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d9de3c5-92e9-468c-8388-818a6e6aa4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76641-b503-4bae-9034-b86057230d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5a6d1ba-4718-4577-9156-69b777a3a3d8}" ma:internalName="TaxCatchAll" ma:showField="CatchAllData" ma:web="31176641-b503-4bae-9034-b86057230d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DFA22A-3318-4934-82A1-CF1D00FD8605}">
  <ds:schemaRefs>
    <ds:schemaRef ds:uri="http://schemas.microsoft.com/office/2006/metadata/properties"/>
    <ds:schemaRef ds:uri="http://schemas.microsoft.com/office/infopath/2007/PartnerControls"/>
    <ds:schemaRef ds:uri="06773401-87c3-4276-b240-ab7c04fc7738"/>
    <ds:schemaRef ds:uri="31176641-b503-4bae-9034-b86057230ddd"/>
  </ds:schemaRefs>
</ds:datastoreItem>
</file>

<file path=customXml/itemProps2.xml><?xml version="1.0" encoding="utf-8"?>
<ds:datastoreItem xmlns:ds="http://schemas.openxmlformats.org/officeDocument/2006/customXml" ds:itemID="{D63FA6A4-4405-4A7F-9541-B9B763CC95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9FBA62-CC8B-494D-B2D6-870D2311A3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773401-87c3-4276-b240-ab7c04fc7738"/>
    <ds:schemaRef ds:uri="31176641-b503-4bae-9034-b86057230d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Engenharia</vt:lpstr>
      <vt:lpstr>Telecom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Lorraine da Silva</dc:creator>
  <cp:keywords/>
  <dc:description/>
  <cp:lastModifiedBy>Lucas Pereira da Silva</cp:lastModifiedBy>
  <cp:revision/>
  <dcterms:created xsi:type="dcterms:W3CDTF">2025-12-16T12:19:17Z</dcterms:created>
  <dcterms:modified xsi:type="dcterms:W3CDTF">2026-04-02T19:08:53Z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0x01010055E0F048E5C01D4EA104B4B66C4E1E76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